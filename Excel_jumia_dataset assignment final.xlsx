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60" windowWidth="16275" windowHeight="8010" activeTab="2"/>
  </bookViews>
  <sheets>
    <sheet name="pivot tables" sheetId="2" r:id="rId1"/>
    <sheet name="Excel_jumia_dataset assignment " sheetId="1" r:id="rId2"/>
    <sheet name="dashboard" sheetId="3" r:id="rId3"/>
  </sheets>
  <definedNames>
    <definedName name="Slicer_Discount_categoty">#N/A</definedName>
    <definedName name="Slicer_rating_category">#N/A</definedName>
  </definedNames>
  <calcPr calcId="145621"/>
  <pivotCaches>
    <pivotCache cacheId="15" r:id="rId4"/>
    <pivotCache cacheId="8" r:id="rId5"/>
    <pivotCache cacheId="2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21"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2" i="1"/>
  <c r="O18" i="1"/>
  <c r="O17" i="1"/>
  <c r="O16" i="1"/>
  <c r="B122" i="1"/>
  <c r="B121" i="1"/>
  <c r="B115" i="1"/>
  <c r="B117" i="1"/>
  <c r="B116" i="1"/>
  <c r="J115"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2" i="1"/>
  <c r="K2" i="1" s="1"/>
  <c r="H3" i="1"/>
  <c r="H2"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D3" i="1" l="1"/>
  <c r="E3" i="1" s="1"/>
  <c r="L3" i="1" s="1"/>
  <c r="D4" i="1"/>
  <c r="E4" i="1" s="1"/>
  <c r="L4" i="1" s="1"/>
  <c r="D5" i="1"/>
  <c r="E5" i="1" s="1"/>
  <c r="L5" i="1" s="1"/>
  <c r="D6" i="1"/>
  <c r="E6" i="1" s="1"/>
  <c r="L6" i="1" s="1"/>
  <c r="D7" i="1"/>
  <c r="E7" i="1" s="1"/>
  <c r="L7" i="1" s="1"/>
  <c r="D8" i="1"/>
  <c r="E8" i="1" s="1"/>
  <c r="L8" i="1" s="1"/>
  <c r="D9" i="1"/>
  <c r="E9" i="1" s="1"/>
  <c r="L9" i="1" s="1"/>
  <c r="D10" i="1"/>
  <c r="E10" i="1" s="1"/>
  <c r="L10" i="1" s="1"/>
  <c r="D11" i="1"/>
  <c r="E11" i="1" s="1"/>
  <c r="L11" i="1" s="1"/>
  <c r="D12" i="1"/>
  <c r="E12" i="1" s="1"/>
  <c r="L12" i="1" s="1"/>
  <c r="D13" i="1"/>
  <c r="E13" i="1" s="1"/>
  <c r="L13" i="1" s="1"/>
  <c r="D14" i="1"/>
  <c r="E14" i="1" s="1"/>
  <c r="L14" i="1" s="1"/>
  <c r="D15" i="1"/>
  <c r="E15" i="1" s="1"/>
  <c r="L15" i="1" s="1"/>
  <c r="D16" i="1"/>
  <c r="E16" i="1" s="1"/>
  <c r="L16" i="1" s="1"/>
  <c r="D17" i="1"/>
  <c r="E17" i="1" s="1"/>
  <c r="L17" i="1" s="1"/>
  <c r="D18" i="1"/>
  <c r="E18" i="1" s="1"/>
  <c r="L18" i="1" s="1"/>
  <c r="D19" i="1"/>
  <c r="E19" i="1" s="1"/>
  <c r="L19" i="1" s="1"/>
  <c r="D20" i="1"/>
  <c r="E20" i="1" s="1"/>
  <c r="L20" i="1" s="1"/>
  <c r="D21" i="1"/>
  <c r="E21" i="1" s="1"/>
  <c r="L21" i="1" s="1"/>
  <c r="D22" i="1"/>
  <c r="E22" i="1" s="1"/>
  <c r="L22" i="1" s="1"/>
  <c r="D23" i="1"/>
  <c r="E23" i="1" s="1"/>
  <c r="L23" i="1" s="1"/>
  <c r="D24" i="1"/>
  <c r="E24" i="1" s="1"/>
  <c r="L24" i="1" s="1"/>
  <c r="D25" i="1"/>
  <c r="E25" i="1" s="1"/>
  <c r="L25" i="1" s="1"/>
  <c r="D26" i="1"/>
  <c r="E26" i="1" s="1"/>
  <c r="L26" i="1" s="1"/>
  <c r="D27" i="1"/>
  <c r="E27" i="1" s="1"/>
  <c r="L27" i="1" s="1"/>
  <c r="D28" i="1"/>
  <c r="E28" i="1" s="1"/>
  <c r="L28" i="1" s="1"/>
  <c r="D29" i="1"/>
  <c r="E29" i="1" s="1"/>
  <c r="L29" i="1" s="1"/>
  <c r="D30" i="1"/>
  <c r="E30" i="1" s="1"/>
  <c r="L30" i="1" s="1"/>
  <c r="D31" i="1"/>
  <c r="E31" i="1" s="1"/>
  <c r="L31" i="1" s="1"/>
  <c r="D32" i="1"/>
  <c r="E32" i="1" s="1"/>
  <c r="L32" i="1" s="1"/>
  <c r="D33" i="1"/>
  <c r="E33" i="1" s="1"/>
  <c r="L33" i="1" s="1"/>
  <c r="D34" i="1"/>
  <c r="E34" i="1" s="1"/>
  <c r="L34" i="1" s="1"/>
  <c r="D35" i="1"/>
  <c r="E35" i="1" s="1"/>
  <c r="L35" i="1" s="1"/>
  <c r="D36" i="1"/>
  <c r="E36" i="1" s="1"/>
  <c r="L36" i="1" s="1"/>
  <c r="D37" i="1"/>
  <c r="E37" i="1" s="1"/>
  <c r="L37" i="1" s="1"/>
  <c r="D38" i="1"/>
  <c r="E38" i="1" s="1"/>
  <c r="L38" i="1" s="1"/>
  <c r="D39" i="1"/>
  <c r="E39" i="1" s="1"/>
  <c r="L39" i="1" s="1"/>
  <c r="D41" i="1"/>
  <c r="E41" i="1" s="1"/>
  <c r="L41" i="1" s="1"/>
  <c r="D42" i="1"/>
  <c r="E42" i="1" s="1"/>
  <c r="L42" i="1" s="1"/>
  <c r="D43" i="1"/>
  <c r="E43" i="1" s="1"/>
  <c r="L43" i="1" s="1"/>
  <c r="D44" i="1"/>
  <c r="E44" i="1" s="1"/>
  <c r="L44" i="1" s="1"/>
  <c r="D45" i="1"/>
  <c r="E45" i="1" s="1"/>
  <c r="L45" i="1" s="1"/>
  <c r="D46" i="1"/>
  <c r="E46" i="1" s="1"/>
  <c r="L46" i="1" s="1"/>
  <c r="D47" i="1"/>
  <c r="E47" i="1" s="1"/>
  <c r="L47" i="1" s="1"/>
  <c r="D48" i="1"/>
  <c r="E48" i="1" s="1"/>
  <c r="L48" i="1" s="1"/>
  <c r="D49" i="1"/>
  <c r="E49" i="1" s="1"/>
  <c r="L49" i="1" s="1"/>
  <c r="D50" i="1"/>
  <c r="E50" i="1" s="1"/>
  <c r="L50" i="1" s="1"/>
  <c r="D51" i="1"/>
  <c r="E51" i="1" s="1"/>
  <c r="L51" i="1" s="1"/>
  <c r="D52" i="1"/>
  <c r="E52" i="1" s="1"/>
  <c r="L52" i="1" s="1"/>
  <c r="D53" i="1"/>
  <c r="E53" i="1" s="1"/>
  <c r="L53" i="1" s="1"/>
  <c r="D54" i="1"/>
  <c r="E54" i="1" s="1"/>
  <c r="L54" i="1" s="1"/>
  <c r="D55" i="1"/>
  <c r="E55" i="1" s="1"/>
  <c r="L55" i="1" s="1"/>
  <c r="D56" i="1"/>
  <c r="E56" i="1" s="1"/>
  <c r="L56" i="1" s="1"/>
  <c r="D57" i="1"/>
  <c r="E57" i="1" s="1"/>
  <c r="L57" i="1" s="1"/>
  <c r="D58" i="1"/>
  <c r="E58" i="1" s="1"/>
  <c r="L58" i="1" s="1"/>
  <c r="D59" i="1"/>
  <c r="E59" i="1" s="1"/>
  <c r="L59" i="1" s="1"/>
  <c r="D60" i="1"/>
  <c r="E60" i="1" s="1"/>
  <c r="L60" i="1" s="1"/>
  <c r="D61" i="1"/>
  <c r="E61" i="1" s="1"/>
  <c r="L61" i="1" s="1"/>
  <c r="D62" i="1"/>
  <c r="E62" i="1" s="1"/>
  <c r="L62" i="1" s="1"/>
  <c r="D63" i="1"/>
  <c r="E63" i="1" s="1"/>
  <c r="L63" i="1" s="1"/>
  <c r="D64" i="1"/>
  <c r="E64" i="1" s="1"/>
  <c r="L64" i="1" s="1"/>
  <c r="D65" i="1"/>
  <c r="E65" i="1" s="1"/>
  <c r="L65" i="1" s="1"/>
  <c r="D66" i="1"/>
  <c r="E66" i="1" s="1"/>
  <c r="L66" i="1" s="1"/>
  <c r="D67" i="1"/>
  <c r="E67" i="1" s="1"/>
  <c r="L67" i="1" s="1"/>
  <c r="D68" i="1"/>
  <c r="E68" i="1" s="1"/>
  <c r="L68" i="1" s="1"/>
  <c r="D69" i="1"/>
  <c r="E69" i="1" s="1"/>
  <c r="L69" i="1" s="1"/>
  <c r="D70" i="1"/>
  <c r="E70" i="1" s="1"/>
  <c r="L70" i="1" s="1"/>
  <c r="D71" i="1"/>
  <c r="E71" i="1" s="1"/>
  <c r="L71" i="1" s="1"/>
  <c r="D72" i="1"/>
  <c r="E72" i="1" s="1"/>
  <c r="L72" i="1" s="1"/>
  <c r="D73" i="1"/>
  <c r="E73" i="1" s="1"/>
  <c r="L73" i="1" s="1"/>
  <c r="D74" i="1"/>
  <c r="E74" i="1" s="1"/>
  <c r="L74" i="1" s="1"/>
  <c r="D75" i="1"/>
  <c r="E75" i="1" s="1"/>
  <c r="L75" i="1" s="1"/>
  <c r="D76" i="1"/>
  <c r="E76" i="1" s="1"/>
  <c r="L76" i="1" s="1"/>
  <c r="D77" i="1"/>
  <c r="E77" i="1" s="1"/>
  <c r="L77" i="1" s="1"/>
  <c r="D78" i="1"/>
  <c r="E78" i="1" s="1"/>
  <c r="L78" i="1" s="1"/>
  <c r="D79" i="1"/>
  <c r="E79" i="1" s="1"/>
  <c r="L79" i="1" s="1"/>
  <c r="D80" i="1"/>
  <c r="E80" i="1" s="1"/>
  <c r="L80" i="1" s="1"/>
  <c r="D81" i="1"/>
  <c r="E81" i="1" s="1"/>
  <c r="L81" i="1" s="1"/>
  <c r="D82" i="1"/>
  <c r="E82" i="1" s="1"/>
  <c r="L82" i="1" s="1"/>
  <c r="D83" i="1"/>
  <c r="E83" i="1" s="1"/>
  <c r="L83" i="1" s="1"/>
  <c r="D84" i="1"/>
  <c r="E84" i="1" s="1"/>
  <c r="L84" i="1" s="1"/>
  <c r="D85" i="1"/>
  <c r="E85" i="1" s="1"/>
  <c r="L85" i="1" s="1"/>
  <c r="D86" i="1"/>
  <c r="E86" i="1" s="1"/>
  <c r="L86" i="1" s="1"/>
  <c r="D87" i="1"/>
  <c r="E87" i="1" s="1"/>
  <c r="L87" i="1" s="1"/>
  <c r="D88" i="1"/>
  <c r="E88" i="1" s="1"/>
  <c r="L88" i="1" s="1"/>
  <c r="D89" i="1"/>
  <c r="E89" i="1" s="1"/>
  <c r="L89" i="1" s="1"/>
  <c r="D90" i="1"/>
  <c r="E90" i="1" s="1"/>
  <c r="L90" i="1" s="1"/>
  <c r="D91" i="1"/>
  <c r="E91" i="1" s="1"/>
  <c r="L91" i="1" s="1"/>
  <c r="D92" i="1"/>
  <c r="E92" i="1" s="1"/>
  <c r="L92" i="1" s="1"/>
  <c r="D93" i="1"/>
  <c r="E93" i="1" s="1"/>
  <c r="L93" i="1" s="1"/>
  <c r="D94" i="1"/>
  <c r="E94" i="1" s="1"/>
  <c r="L94" i="1" s="1"/>
  <c r="D95" i="1"/>
  <c r="E95" i="1" s="1"/>
  <c r="L95" i="1" s="1"/>
  <c r="D96" i="1"/>
  <c r="E96" i="1" s="1"/>
  <c r="L96" i="1" s="1"/>
  <c r="D97" i="1"/>
  <c r="E97" i="1" s="1"/>
  <c r="L97" i="1" s="1"/>
  <c r="D98" i="1"/>
  <c r="E98" i="1" s="1"/>
  <c r="L98" i="1" s="1"/>
  <c r="D99" i="1"/>
  <c r="E99" i="1" s="1"/>
  <c r="L99" i="1" s="1"/>
  <c r="D100" i="1"/>
  <c r="E100" i="1" s="1"/>
  <c r="L100" i="1" s="1"/>
  <c r="D101" i="1"/>
  <c r="E101" i="1" s="1"/>
  <c r="L101" i="1" s="1"/>
  <c r="D102" i="1"/>
  <c r="E102" i="1" s="1"/>
  <c r="L102" i="1" s="1"/>
  <c r="D103" i="1"/>
  <c r="E103" i="1" s="1"/>
  <c r="L103" i="1" s="1"/>
  <c r="D104" i="1"/>
  <c r="E104" i="1" s="1"/>
  <c r="L104" i="1" s="1"/>
  <c r="D105" i="1"/>
  <c r="E105" i="1" s="1"/>
  <c r="L105" i="1" s="1"/>
  <c r="D106" i="1"/>
  <c r="E106" i="1" s="1"/>
  <c r="L106" i="1" s="1"/>
  <c r="D107" i="1"/>
  <c r="E107" i="1" s="1"/>
  <c r="L107" i="1" s="1"/>
  <c r="D108" i="1"/>
  <c r="E108" i="1" s="1"/>
  <c r="L108" i="1" s="1"/>
  <c r="D109" i="1"/>
  <c r="E109" i="1" s="1"/>
  <c r="L109" i="1" s="1"/>
  <c r="D110" i="1"/>
  <c r="E110" i="1" s="1"/>
  <c r="L110" i="1" s="1"/>
  <c r="D111" i="1"/>
  <c r="E111" i="1" s="1"/>
  <c r="L111" i="1" s="1"/>
  <c r="D112" i="1"/>
  <c r="E112" i="1" s="1"/>
  <c r="L112" i="1" s="1"/>
  <c r="D113" i="1"/>
  <c r="E113" i="1" s="1"/>
  <c r="L113" i="1" s="1"/>
  <c r="D2" i="1"/>
  <c r="E2" i="1" s="1"/>
  <c r="L2" i="1" s="1"/>
  <c r="C40" i="1"/>
  <c r="B40" i="1"/>
  <c r="D40" i="1" l="1"/>
  <c r="E40" i="1" s="1"/>
  <c r="L40" i="1" s="1"/>
  <c r="C115" i="1"/>
  <c r="E115" i="1"/>
</calcChain>
</file>

<file path=xl/sharedStrings.xml><?xml version="1.0" encoding="utf-8"?>
<sst xmlns="http://schemas.openxmlformats.org/spreadsheetml/2006/main" count="285" uniqueCount="169">
  <si>
    <t>Product</t>
  </si>
  <si>
    <t>Current price</t>
  </si>
  <si>
    <t>old price</t>
  </si>
  <si>
    <t>Discount</t>
  </si>
  <si>
    <t>Review</t>
  </si>
  <si>
    <t>115  Piece Set Of Multifunctional Precision Screwdrivers</t>
  </si>
  <si>
    <t>4.5 out of 5</t>
  </si>
  <si>
    <t>Metal Decorative Hooks Key Hangers Entryway Wall Hooks Towel Hooks - Home</t>
  </si>
  <si>
    <t>4.1 out of 5</t>
  </si>
  <si>
    <t>Portable Mini Cordless Car Vacuum Cleaner - Blue</t>
  </si>
  <si>
    <t>4.6 out of 5</t>
  </si>
  <si>
    <t>Weighing Scale Digital Bathroom Body Fat Scale USB-Black</t>
  </si>
  <si>
    <t>4.7 out of 5</t>
  </si>
  <si>
    <t>Portable Home Small Air Humidifier 3-Speed Fan - Green</t>
  </si>
  <si>
    <t>4.8 out of 5</t>
  </si>
  <si>
    <t>220V 60W Electric Soldering Iron Kits With Tools, Tips, And Multimeter</t>
  </si>
  <si>
    <t>4 out of 5</t>
  </si>
  <si>
    <t>137 Pieces Cake Decorating Tool Set Baking Supplies</t>
  </si>
  <si>
    <t>Desk Foldable Fan Adjustable Fan Strong Wind 3 Gear Usb</t>
  </si>
  <si>
    <t>LASA FOLDING TABLE SERVING STAND</t>
  </si>
  <si>
    <t>13 In 1 Home Repair Tools Box Kit Set</t>
  </si>
  <si>
    <t>3.8 out of 5</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</si>
  <si>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</si>
  <si>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</si>
  <si>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</si>
  <si>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</si>
  <si>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</si>
  <si>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4.2 out of 5</t>
  </si>
  <si>
    <t>Anti-Skid Absorbent Insulation Coaster  For Home Office</t>
  </si>
  <si>
    <t>5 out of 5</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</si>
  <si>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</si>
  <si>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</si>
  <si>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</si>
  <si>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</si>
  <si>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</si>
  <si>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3.3 out of 5</t>
  </si>
  <si>
    <t>4pcs Bathroom/Kitchen Towel Rack,Roll Paper Holder,Towel Bars,Hook</t>
  </si>
  <si>
    <t>LED Romantic Spaceship Starry Sky Projector,Children's Bedroom Night Light-Blue</t>
  </si>
  <si>
    <t>Foldable Overbed Table/Desk</t>
  </si>
  <si>
    <t>4.4 out of 5</t>
  </si>
  <si>
    <t>LASA 3 Tier Bamboo Shoe Bench Storage Shelf</t>
  </si>
  <si>
    <t>4.3 out of 5</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</si>
  <si>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</si>
  <si>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</si>
  <si>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</si>
  <si>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</si>
  <si>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</si>
  <si>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</si>
  <si>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</si>
  <si>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</si>
  <si>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</si>
  <si>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</si>
  <si>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</si>
  <si>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</si>
  <si>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</si>
  <si>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</si>
  <si>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</si>
  <si>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</si>
  <si>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</si>
  <si>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</si>
  <si>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</si>
  <si>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</si>
  <si>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</si>
  <si>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</si>
  <si>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</si>
  <si>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</si>
  <si>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</si>
  <si>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</si>
  <si>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</si>
  <si>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</si>
  <si>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</si>
  <si>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</si>
  <si>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</si>
  <si>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</si>
  <si>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</si>
  <si>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2.5 out of 5</t>
  </si>
  <si>
    <t>Mythco 120COB Solar Wall Ligt With Motion Sensor And Remote Control 3 Modes</t>
  </si>
  <si>
    <t>3 out of 5</t>
  </si>
  <si>
    <t>5-PCS Stainless Steel Cooking Pot Set With Steamed Slices</t>
  </si>
  <si>
    <t>2.1 out of 5</t>
  </si>
  <si>
    <t>120W Cordless Vacuum Cleaners Handheld Electric Vacuum Cleaner</t>
  </si>
  <si>
    <t>2.8 out of 5</t>
  </si>
  <si>
    <t>Intelligent  LED Body Sensor Wireless Lighting Night Light USB</t>
  </si>
  <si>
    <t>2.7 out of 5</t>
  </si>
  <si>
    <t>VIC Wireless Vacuum Cleaner Dual Use For Home And Car 120W High Power Powerful</t>
  </si>
  <si>
    <t>2.9 out of 5</t>
  </si>
  <si>
    <t>Artificial Potted Flowers Room Decorative Flowers (2 Pieces)</t>
  </si>
  <si>
    <t>2.2 out of 5</t>
  </si>
  <si>
    <t>380ML USB Rechargeable Portable Small Blenders And Juicers</t>
  </si>
  <si>
    <t>2.3 out of 5</t>
  </si>
  <si>
    <t>32PCS Portable Cordless Drill Set With Cyclic Battery Drive -26 Variable Speed</t>
  </si>
  <si>
    <t>Agapeon Toothbrush Holder And Toothpaste Dispenser</t>
  </si>
  <si>
    <t>2.6 out of 5</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</si>
  <si>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</si>
  <si>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</si>
  <si>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</si>
  <si>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</si>
  <si>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</si>
  <si>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</si>
  <si>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</si>
  <si>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</si>
  <si>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</si>
  <si>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</si>
  <si>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</si>
  <si>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</si>
  <si>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</si>
  <si>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</si>
  <si>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</si>
  <si>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</si>
  <si>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</si>
  <si>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</si>
  <si>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</si>
  <si>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</si>
  <si>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</si>
  <si>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</si>
  <si>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</si>
  <si>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</si>
  <si>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</si>
  <si>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</si>
  <si>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</si>
  <si>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</si>
  <si>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</si>
  <si>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</si>
  <si>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</si>
  <si>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</si>
  <si>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</si>
  <si>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</si>
  <si>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</si>
  <si>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</si>
  <si>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</si>
  <si>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</si>
  <si>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</si>
  <si>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</si>
  <si>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2 out of 5</t>
  </si>
  <si>
    <t>Black Simple Water Cup Wine Coaster Anti Slip Absorbent</t>
  </si>
  <si>
    <t>abs review</t>
  </si>
  <si>
    <t>MultiFunctional Storage Rack Multi-layer Booelf</t>
  </si>
  <si>
    <t>abs discount</t>
  </si>
  <si>
    <t>abs rating</t>
  </si>
  <si>
    <t>Rating</t>
  </si>
  <si>
    <t>rating category</t>
  </si>
  <si>
    <t>POOR</t>
  </si>
  <si>
    <t>AVERAGE</t>
  </si>
  <si>
    <t>EXCELLENT</t>
  </si>
  <si>
    <t>&lt;3</t>
  </si>
  <si>
    <t>3=4</t>
  </si>
  <si>
    <t>&gt;4.5</t>
  </si>
  <si>
    <t>Discount categoty</t>
  </si>
  <si>
    <t>AVERAGE CURRENT PRICE</t>
  </si>
  <si>
    <t>EXPENSIVE</t>
  </si>
  <si>
    <t>LEAST EXPENSIVE</t>
  </si>
  <si>
    <t>HIGH</t>
  </si>
  <si>
    <t>MEDIUM</t>
  </si>
  <si>
    <t>LOW</t>
  </si>
  <si>
    <t>Row Labels</t>
  </si>
  <si>
    <t>HIGH DISCOUNT</t>
  </si>
  <si>
    <t>LOW DISCOUNT</t>
  </si>
  <si>
    <t>Grand Total</t>
  </si>
  <si>
    <t>abs discount %</t>
  </si>
  <si>
    <t>(blank)</t>
  </si>
  <si>
    <t>Average of abs discount %</t>
  </si>
  <si>
    <t>Average of abs rating</t>
  </si>
  <si>
    <t>Average of abs discount2</t>
  </si>
  <si>
    <t>Average of abs review</t>
  </si>
  <si>
    <t>Perfomance score</t>
  </si>
  <si>
    <t>ratings</t>
  </si>
  <si>
    <t>review</t>
  </si>
  <si>
    <t>discount</t>
  </si>
  <si>
    <t>Average of Perfomance score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</si>
</sst>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B05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9" fontId="0" fillId="0" borderId="0" xfId="0" applyNumberFormat="1"/>
    <xf numFmtId="0" fontId="18" fillId="0" borderId="0" xfId="0" applyFont="1"/>
    <xf numFmtId="2" fontId="18" fillId="0" borderId="0" xfId="0" applyNumberFormat="1" applyFont="1"/>
    <xf numFmtId="2" fontId="0" fillId="0" borderId="0" xfId="0" applyNumberFormat="1"/>
    <xf numFmtId="10" fontId="18" fillId="0" borderId="0" xfId="0" applyNumberFormat="1" applyFont="1"/>
    <xf numFmtId="10" fontId="0" fillId="0" borderId="0" xfId="0" applyNumberFormat="1"/>
    <xf numFmtId="16"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 final.xlsx]pivot tables!PivotTable2</c:name>
    <c:fmtId val="0"/>
  </c:pivotSource>
  <c:chart>
    <c:title>
      <c:tx>
        <c:rich>
          <a:bodyPr/>
          <a:lstStyle/>
          <a:p>
            <a:pPr>
              <a:defRPr/>
            </a:pPr>
            <a:r>
              <a:rPr lang="en-US"/>
              <a:t>DISCOUNT</a:t>
            </a:r>
            <a:r>
              <a:rPr lang="en-US" baseline="0"/>
              <a:t> CATEGORY</a:t>
            </a:r>
          </a:p>
        </c:rich>
      </c:tx>
      <c:layout/>
      <c:overlay val="0"/>
    </c:title>
    <c:autoTitleDeleted val="0"/>
    <c:pivotFmts>
      <c:pivotFmt>
        <c:idx val="0"/>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pieChart>
        <c:varyColors val="1"/>
        <c:ser>
          <c:idx val="0"/>
          <c:order val="0"/>
          <c:tx>
            <c:strRef>
              <c:f>'pivot tables'!$B$8</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'pivot tables'!$A$9:$A$13</c:f>
              <c:strCache>
                <c:ptCount val="4"/>
                <c:pt idx="0">
                  <c:v>HIGH DISCOUNT</c:v>
                </c:pt>
                <c:pt idx="1">
                  <c:v>LOW DISCOUNT</c:v>
                </c:pt>
                <c:pt idx="2">
                  <c:v>MEDIUM</c:v>
                </c:pt>
                <c:pt idx="3">
                  <c:v>(blank)</c:v>
                </c:pt>
              </c:strCache>
            </c:strRef>
          </c:cat>
          <c:val>
            <c:numRef>
              <c:f>'pivot tables'!$B$9:$B$13</c:f>
              <c:numCache>
                <c:formatCode>0.00%</c:formatCode>
                <c:ptCount val="4"/>
                <c:pt idx="0">
                  <c:v>0.48317809166416531</c:v>
                </c:pt>
                <c:pt idx="1">
                  <c:v>7.227592305560436E-2</c:v>
                </c:pt>
                <c:pt idx="2">
                  <c:v>0.30818155449324991</c:v>
                </c:pt>
                <c:pt idx="3">
                  <c:v>0.36714123251752773</c:v>
                </c:pt>
              </c:numCache>
            </c:numRef>
          </c:val>
        </c:ser>
        <c:dLbls>
          <c:showLegendKey val="0"/>
          <c:showVal val="0"/>
          <c:showCatName val="0"/>
          <c:showSerName val="0"/>
          <c:showPercent val="1"/>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 final.xlsx]pivot tables!PivotTable3</c:name>
    <c:fmtId val="0"/>
  </c:pivotSource>
  <c:chart>
    <c:title>
      <c:tx>
        <c:rich>
          <a:bodyPr/>
          <a:lstStyle/>
          <a:p>
            <a:pPr>
              <a:defRPr/>
            </a:pPr>
            <a:r>
              <a:rPr lang="en-US"/>
              <a:t>RATING</a:t>
            </a:r>
            <a:r>
              <a:rPr lang="en-US" baseline="0"/>
              <a:t> CATEGORY</a:t>
            </a:r>
            <a:endParaRPr lang="en-US"/>
          </a:p>
        </c:rich>
      </c:tx>
      <c:layout/>
      <c:overlay val="0"/>
    </c:title>
    <c:autoTitleDeleted val="0"/>
    <c:pivotFmts>
      <c:pivotFmt>
        <c:idx val="0"/>
        <c:marker>
          <c:symbol val="none"/>
        </c:marker>
        <c:dLbl>
          <c:idx val="0"/>
          <c:layout/>
          <c:spPr/>
          <c:txPr>
            <a:bodyPr/>
            <a:lstStyle/>
            <a:p>
              <a:pPr>
                <a:defRPr/>
              </a:pPr>
              <a:endParaRPr lang="en-US"/>
            </a:p>
          </c:txPr>
          <c:dLblPos val="inEnd"/>
          <c:showLegendKey val="0"/>
          <c:showVal val="1"/>
          <c:showCatName val="0"/>
          <c:showSerName val="0"/>
          <c:showPercent val="0"/>
          <c:showBubbleSize val="0"/>
        </c:dLbl>
      </c:pivotFmt>
    </c:pivotFmts>
    <c:plotArea>
      <c:layout/>
      <c:barChart>
        <c:barDir val="bar"/>
        <c:grouping val="clustered"/>
        <c:varyColors val="0"/>
        <c:ser>
          <c:idx val="0"/>
          <c:order val="0"/>
          <c:tx>
            <c:strRef>
              <c:f>'pivot tables'!$B$15</c:f>
              <c:strCache>
                <c:ptCount val="1"/>
                <c:pt idx="0">
                  <c:v>Total</c:v>
                </c:pt>
              </c:strCache>
            </c:strRef>
          </c:tx>
          <c:invertIfNegative val="0"/>
          <c:dLbls>
            <c:spPr/>
            <c:txPr>
              <a:bodyPr/>
              <a:lstStyle/>
              <a:p>
                <a:pPr>
                  <a:defRPr/>
                </a:pPr>
                <a:endParaRPr lang="en-US"/>
              </a:p>
            </c:txPr>
            <c:dLblPos val="inEnd"/>
            <c:showLegendKey val="0"/>
            <c:showVal val="1"/>
            <c:showCatName val="0"/>
            <c:showSerName val="0"/>
            <c:showPercent val="0"/>
            <c:showBubbleSize val="0"/>
            <c:showLeaderLines val="0"/>
          </c:dLbls>
          <c:cat>
            <c:strRef>
              <c:f>'pivot tables'!$A$16:$A$21</c:f>
              <c:strCache>
                <c:ptCount val="5"/>
                <c:pt idx="1">
                  <c:v>AVERAGE</c:v>
                </c:pt>
                <c:pt idx="2">
                  <c:v>EXCELLENT</c:v>
                </c:pt>
                <c:pt idx="3">
                  <c:v>POOR</c:v>
                </c:pt>
                <c:pt idx="4">
                  <c:v>(blank)</c:v>
                </c:pt>
              </c:strCache>
            </c:strRef>
          </c:cat>
          <c:val>
            <c:numRef>
              <c:f>'pivot tables'!$B$16:$B$21</c:f>
              <c:numCache>
                <c:formatCode>General</c:formatCode>
                <c:ptCount val="5"/>
                <c:pt idx="0">
                  <c:v>#N/A</c:v>
                </c:pt>
                <c:pt idx="1">
                  <c:v>3.5153846153846158</c:v>
                </c:pt>
                <c:pt idx="2">
                  <c:v>4.6031250000000004</c:v>
                </c:pt>
                <c:pt idx="3">
                  <c:v>2.3916666666666671</c:v>
                </c:pt>
                <c:pt idx="4">
                  <c:v>3.8894736842105258</c:v>
                </c:pt>
              </c:numCache>
            </c:numRef>
          </c:val>
        </c:ser>
        <c:dLbls>
          <c:showLegendKey val="0"/>
          <c:showVal val="0"/>
          <c:showCatName val="0"/>
          <c:showSerName val="0"/>
          <c:showPercent val="0"/>
          <c:showBubbleSize val="0"/>
        </c:dLbls>
        <c:gapWidth val="75"/>
        <c:overlap val="40"/>
        <c:axId val="272979456"/>
        <c:axId val="202839680"/>
      </c:barChart>
      <c:catAx>
        <c:axId val="272979456"/>
        <c:scaling>
          <c:orientation val="minMax"/>
        </c:scaling>
        <c:delete val="0"/>
        <c:axPos val="l"/>
        <c:majorTickMark val="none"/>
        <c:minorTickMark val="none"/>
        <c:tickLblPos val="nextTo"/>
        <c:crossAx val="202839680"/>
        <c:crosses val="autoZero"/>
        <c:auto val="1"/>
        <c:lblAlgn val="ctr"/>
        <c:lblOffset val="100"/>
        <c:noMultiLvlLbl val="0"/>
      </c:catAx>
      <c:valAx>
        <c:axId val="202839680"/>
        <c:scaling>
          <c:orientation val="minMax"/>
        </c:scaling>
        <c:delete val="0"/>
        <c:axPos val="b"/>
        <c:majorGridlines/>
        <c:numFmt formatCode="General" sourceLinked="1"/>
        <c:majorTickMark val="none"/>
        <c:minorTickMark val="none"/>
        <c:tickLblPos val="nextTo"/>
        <c:crossAx val="2729794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 final.xlsx]pivot tables!PivotTable9</c:name>
    <c:fmtId val="2"/>
  </c:pivotSource>
  <c:chart>
    <c:title>
      <c:tx>
        <c:rich>
          <a:bodyPr/>
          <a:lstStyle/>
          <a:p>
            <a:pPr>
              <a:defRPr/>
            </a:pPr>
            <a:r>
              <a:rPr lang="en-US"/>
              <a:t>DISCOUNT</a:t>
            </a:r>
            <a:r>
              <a:rPr lang="en-US" baseline="0"/>
              <a:t> AND AVERAGE PERFOMANCE</a:t>
            </a:r>
            <a:endParaRPr lang="en-US"/>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tables'!$B$77</c:f>
              <c:strCache>
                <c:ptCount val="1"/>
                <c:pt idx="0">
                  <c:v>Average of abs discount %</c:v>
                </c:pt>
              </c:strCache>
            </c:strRef>
          </c:tx>
          <c:invertIfNegative val="0"/>
          <c:cat>
            <c:strRef>
              <c:f>'pivot tables'!$A$78:$A$88</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'pivot tables'!$B$78:$B$88</c:f>
              <c:numCache>
                <c:formatCode>0.00%</c:formatCode>
                <c:ptCount val="10"/>
                <c:pt idx="0">
                  <c:v>0.52500000000000002</c:v>
                </c:pt>
                <c:pt idx="1">
                  <c:v>0.55000000000000004</c:v>
                </c:pt>
                <c:pt idx="2">
                  <c:v>0.64014466546112114</c:v>
                </c:pt>
                <c:pt idx="3">
                  <c:v>0.52500000000000002</c:v>
                </c:pt>
                <c:pt idx="4">
                  <c:v>0.54750690131124913</c:v>
                </c:pt>
                <c:pt idx="5">
                  <c:v>0.51570680628272247</c:v>
                </c:pt>
                <c:pt idx="6">
                  <c:v>0.5220588235294118</c:v>
                </c:pt>
                <c:pt idx="7">
                  <c:v>0.54488888888888887</c:v>
                </c:pt>
                <c:pt idx="8">
                  <c:v>0.54500000000000004</c:v>
                </c:pt>
                <c:pt idx="9">
                  <c:v>0.53549695740365111</c:v>
                </c:pt>
              </c:numCache>
            </c:numRef>
          </c:val>
        </c:ser>
        <c:ser>
          <c:idx val="1"/>
          <c:order val="1"/>
          <c:tx>
            <c:strRef>
              <c:f>'pivot tables'!$C$77</c:f>
              <c:strCache>
                <c:ptCount val="1"/>
                <c:pt idx="0">
                  <c:v>Average of Perfomance score</c:v>
                </c:pt>
              </c:strCache>
            </c:strRef>
          </c:tx>
          <c:invertIfNegative val="0"/>
          <c:cat>
            <c:strRef>
              <c:f>'pivot tables'!$A$78:$A$88</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'pivot tables'!$C$78:$C$88</c:f>
              <c:numCache>
                <c:formatCode>0.00</c:formatCode>
                <c:ptCount val="10"/>
                <c:pt idx="0">
                  <c:v>6.4862500000000001</c:v>
                </c:pt>
                <c:pt idx="1">
                  <c:v>6.0725000000000007</c:v>
                </c:pt>
                <c:pt idx="2">
                  <c:v>#N/A</c:v>
                </c:pt>
                <c:pt idx="3">
                  <c:v>2.6812499999999999</c:v>
                </c:pt>
                <c:pt idx="4">
                  <c:v>#N/A</c:v>
                </c:pt>
                <c:pt idx="5">
                  <c:v>5.233926701570681</c:v>
                </c:pt>
                <c:pt idx="6">
                  <c:v>7.0755147058823535</c:v>
                </c:pt>
                <c:pt idx="7">
                  <c:v>4.4412222222222217</c:v>
                </c:pt>
                <c:pt idx="8">
                  <c:v>3.8162499999999997</c:v>
                </c:pt>
                <c:pt idx="9">
                  <c:v>5.1838742393509127</c:v>
                </c:pt>
              </c:numCache>
            </c:numRef>
          </c:val>
        </c:ser>
        <c:dLbls>
          <c:showLegendKey val="0"/>
          <c:showVal val="0"/>
          <c:showCatName val="0"/>
          <c:showSerName val="0"/>
          <c:showPercent val="0"/>
          <c:showBubbleSize val="0"/>
        </c:dLbls>
        <c:gapWidth val="150"/>
        <c:axId val="288216064"/>
        <c:axId val="301443328"/>
      </c:barChart>
      <c:catAx>
        <c:axId val="288216064"/>
        <c:scaling>
          <c:orientation val="minMax"/>
        </c:scaling>
        <c:delete val="0"/>
        <c:axPos val="b"/>
        <c:title>
          <c:layout/>
          <c:overlay val="0"/>
        </c:title>
        <c:majorTickMark val="none"/>
        <c:minorTickMark val="none"/>
        <c:tickLblPos val="nextTo"/>
        <c:crossAx val="301443328"/>
        <c:crosses val="autoZero"/>
        <c:auto val="1"/>
        <c:lblAlgn val="ctr"/>
        <c:lblOffset val="100"/>
        <c:noMultiLvlLbl val="0"/>
      </c:catAx>
      <c:valAx>
        <c:axId val="301443328"/>
        <c:scaling>
          <c:orientation val="minMax"/>
        </c:scaling>
        <c:delete val="0"/>
        <c:axPos val="l"/>
        <c:majorGridlines/>
        <c:title>
          <c:layout/>
          <c:overlay val="0"/>
        </c:title>
        <c:numFmt formatCode="0.00%" sourceLinked="1"/>
        <c:majorTickMark val="out"/>
        <c:minorTickMark val="none"/>
        <c:tickLblPos val="nextTo"/>
        <c:crossAx val="2882160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 final.xlsx]pivot tables!PivotTable2</c:name>
    <c:fmtId val="3"/>
  </c:pivotSource>
  <c:chart>
    <c:title>
      <c:tx>
        <c:rich>
          <a:bodyPr/>
          <a:lstStyle/>
          <a:p>
            <a:pPr>
              <a:defRPr/>
            </a:pPr>
            <a:r>
              <a:rPr lang="en-US"/>
              <a:t>DISCOUNT</a:t>
            </a:r>
            <a:r>
              <a:rPr lang="en-US" baseline="0"/>
              <a:t> CATEGORY</a:t>
            </a:r>
          </a:p>
        </c:rich>
      </c:tx>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pieChart>
        <c:varyColors val="1"/>
        <c:ser>
          <c:idx val="0"/>
          <c:order val="0"/>
          <c:tx>
            <c:strRef>
              <c:f>'pivot tables'!$B$8</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'pivot tables'!$A$9:$A$13</c:f>
              <c:strCache>
                <c:ptCount val="4"/>
                <c:pt idx="0">
                  <c:v>HIGH DISCOUNT</c:v>
                </c:pt>
                <c:pt idx="1">
                  <c:v>LOW DISCOUNT</c:v>
                </c:pt>
                <c:pt idx="2">
                  <c:v>MEDIUM</c:v>
                </c:pt>
                <c:pt idx="3">
                  <c:v>(blank)</c:v>
                </c:pt>
              </c:strCache>
            </c:strRef>
          </c:cat>
          <c:val>
            <c:numRef>
              <c:f>'pivot tables'!$B$9:$B$13</c:f>
              <c:numCache>
                <c:formatCode>0.00%</c:formatCode>
                <c:ptCount val="4"/>
                <c:pt idx="0">
                  <c:v>0.48317809166416531</c:v>
                </c:pt>
                <c:pt idx="1">
                  <c:v>7.227592305560436E-2</c:v>
                </c:pt>
                <c:pt idx="2">
                  <c:v>0.30818155449324991</c:v>
                </c:pt>
                <c:pt idx="3">
                  <c:v>0.36714123251752773</c:v>
                </c:pt>
              </c:numCache>
            </c:numRef>
          </c:val>
        </c:ser>
        <c:dLbls>
          <c:showLegendKey val="0"/>
          <c:showVal val="0"/>
          <c:showCatName val="0"/>
          <c:showSerName val="0"/>
          <c:showPercent val="1"/>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 final.xlsx]pivot tables!PivotTable3</c:name>
    <c:fmtId val="2"/>
  </c:pivotSource>
  <c:chart>
    <c:title>
      <c:tx>
        <c:rich>
          <a:bodyPr/>
          <a:lstStyle/>
          <a:p>
            <a:pPr>
              <a:defRPr/>
            </a:pPr>
            <a:r>
              <a:rPr lang="en-US"/>
              <a:t>RATING</a:t>
            </a:r>
            <a:r>
              <a:rPr lang="en-US" baseline="0"/>
              <a:t> CATEGORY</a:t>
            </a:r>
            <a:endParaRPr lang="en-US"/>
          </a:p>
        </c:rich>
      </c:tx>
      <c:layout/>
      <c:overlay val="0"/>
    </c:title>
    <c:autoTitleDeleted val="0"/>
    <c:pivotFmts>
      <c:pivotFmt>
        <c:idx val="0"/>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dLblPos val="inEnd"/>
          <c:showLegendKey val="0"/>
          <c:showVal val="1"/>
          <c:showCatName val="0"/>
          <c:showSerName val="0"/>
          <c:showPercent val="0"/>
          <c:showBubbleSize val="0"/>
        </c:dLbl>
      </c:pivotFmt>
    </c:pivotFmts>
    <c:plotArea>
      <c:layout/>
      <c:barChart>
        <c:barDir val="bar"/>
        <c:grouping val="clustered"/>
        <c:varyColors val="0"/>
        <c:ser>
          <c:idx val="0"/>
          <c:order val="0"/>
          <c:tx>
            <c:strRef>
              <c:f>'pivot tables'!$B$15</c:f>
              <c:strCache>
                <c:ptCount val="1"/>
                <c:pt idx="0">
                  <c:v>Total</c:v>
                </c:pt>
              </c:strCache>
            </c:strRef>
          </c:tx>
          <c:invertIfNegative val="0"/>
          <c:dLbls>
            <c:spPr/>
            <c:txPr>
              <a:bodyPr/>
              <a:lstStyle/>
              <a:p>
                <a:pPr>
                  <a:defRPr/>
                </a:pPr>
                <a:endParaRPr lang="en-US"/>
              </a:p>
            </c:txPr>
            <c:dLblPos val="inEnd"/>
            <c:showLegendKey val="0"/>
            <c:showVal val="1"/>
            <c:showCatName val="0"/>
            <c:showSerName val="0"/>
            <c:showPercent val="0"/>
            <c:showBubbleSize val="0"/>
            <c:showLeaderLines val="0"/>
          </c:dLbls>
          <c:cat>
            <c:strRef>
              <c:f>'pivot tables'!$A$16:$A$21</c:f>
              <c:strCache>
                <c:ptCount val="5"/>
                <c:pt idx="1">
                  <c:v>AVERAGE</c:v>
                </c:pt>
                <c:pt idx="2">
                  <c:v>EXCELLENT</c:v>
                </c:pt>
                <c:pt idx="3">
                  <c:v>POOR</c:v>
                </c:pt>
                <c:pt idx="4">
                  <c:v>(blank)</c:v>
                </c:pt>
              </c:strCache>
            </c:strRef>
          </c:cat>
          <c:val>
            <c:numRef>
              <c:f>'pivot tables'!$B$16:$B$21</c:f>
              <c:numCache>
                <c:formatCode>General</c:formatCode>
                <c:ptCount val="5"/>
                <c:pt idx="0">
                  <c:v>#N/A</c:v>
                </c:pt>
                <c:pt idx="1">
                  <c:v>3.5153846153846158</c:v>
                </c:pt>
                <c:pt idx="2">
                  <c:v>4.6031250000000004</c:v>
                </c:pt>
                <c:pt idx="3">
                  <c:v>2.3916666666666671</c:v>
                </c:pt>
                <c:pt idx="4">
                  <c:v>3.8894736842105258</c:v>
                </c:pt>
              </c:numCache>
            </c:numRef>
          </c:val>
        </c:ser>
        <c:dLbls>
          <c:showLegendKey val="0"/>
          <c:showVal val="0"/>
          <c:showCatName val="0"/>
          <c:showSerName val="0"/>
          <c:showPercent val="0"/>
          <c:showBubbleSize val="0"/>
        </c:dLbls>
        <c:gapWidth val="75"/>
        <c:overlap val="40"/>
        <c:axId val="283521536"/>
        <c:axId val="300631744"/>
      </c:barChart>
      <c:catAx>
        <c:axId val="283521536"/>
        <c:scaling>
          <c:orientation val="minMax"/>
        </c:scaling>
        <c:delete val="0"/>
        <c:axPos val="l"/>
        <c:majorTickMark val="none"/>
        <c:minorTickMark val="none"/>
        <c:tickLblPos val="nextTo"/>
        <c:crossAx val="300631744"/>
        <c:crosses val="autoZero"/>
        <c:auto val="1"/>
        <c:lblAlgn val="ctr"/>
        <c:lblOffset val="100"/>
        <c:noMultiLvlLbl val="0"/>
      </c:catAx>
      <c:valAx>
        <c:axId val="300631744"/>
        <c:scaling>
          <c:orientation val="minMax"/>
        </c:scaling>
        <c:delete val="0"/>
        <c:axPos val="b"/>
        <c:majorGridlines/>
        <c:numFmt formatCode="General" sourceLinked="1"/>
        <c:majorTickMark val="none"/>
        <c:minorTickMark val="none"/>
        <c:tickLblPos val="nextTo"/>
        <c:crossAx val="2835215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 final.xlsx]pivot tables!PivotTable9</c:name>
    <c:fmtId val="5"/>
  </c:pivotSource>
  <c:chart>
    <c:title>
      <c:tx>
        <c:rich>
          <a:bodyPr/>
          <a:lstStyle/>
          <a:p>
            <a:pPr>
              <a:defRPr/>
            </a:pPr>
            <a:r>
              <a:rPr lang="en-US"/>
              <a:t>DISCOUNT</a:t>
            </a:r>
            <a:r>
              <a:rPr lang="en-US" baseline="0"/>
              <a:t> AND AVERAGE PERFOMANCE</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tables'!$B$77</c:f>
              <c:strCache>
                <c:ptCount val="1"/>
                <c:pt idx="0">
                  <c:v>Average of abs discount %</c:v>
                </c:pt>
              </c:strCache>
            </c:strRef>
          </c:tx>
          <c:invertIfNegative val="0"/>
          <c:cat>
            <c:strRef>
              <c:f>'pivot tables'!$A$78:$A$88</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'pivot tables'!$B$78:$B$88</c:f>
              <c:numCache>
                <c:formatCode>0.00%</c:formatCode>
                <c:ptCount val="10"/>
                <c:pt idx="0">
                  <c:v>0.52500000000000002</c:v>
                </c:pt>
                <c:pt idx="1">
                  <c:v>0.55000000000000004</c:v>
                </c:pt>
                <c:pt idx="2">
                  <c:v>0.64014466546112114</c:v>
                </c:pt>
                <c:pt idx="3">
                  <c:v>0.52500000000000002</c:v>
                </c:pt>
                <c:pt idx="4">
                  <c:v>0.54750690131124913</c:v>
                </c:pt>
                <c:pt idx="5">
                  <c:v>0.51570680628272247</c:v>
                </c:pt>
                <c:pt idx="6">
                  <c:v>0.5220588235294118</c:v>
                </c:pt>
                <c:pt idx="7">
                  <c:v>0.54488888888888887</c:v>
                </c:pt>
                <c:pt idx="8">
                  <c:v>0.54500000000000004</c:v>
                </c:pt>
                <c:pt idx="9">
                  <c:v>0.53549695740365111</c:v>
                </c:pt>
              </c:numCache>
            </c:numRef>
          </c:val>
        </c:ser>
        <c:ser>
          <c:idx val="1"/>
          <c:order val="1"/>
          <c:tx>
            <c:strRef>
              <c:f>'pivot tables'!$C$77</c:f>
              <c:strCache>
                <c:ptCount val="1"/>
                <c:pt idx="0">
                  <c:v>Average of Perfomance score</c:v>
                </c:pt>
              </c:strCache>
            </c:strRef>
          </c:tx>
          <c:invertIfNegative val="0"/>
          <c:cat>
            <c:strRef>
              <c:f>'pivot tables'!$A$78:$A$88</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'pivot tables'!$C$78:$C$88</c:f>
              <c:numCache>
                <c:formatCode>0.00</c:formatCode>
                <c:ptCount val="10"/>
                <c:pt idx="0">
                  <c:v>6.4862500000000001</c:v>
                </c:pt>
                <c:pt idx="1">
                  <c:v>6.0725000000000007</c:v>
                </c:pt>
                <c:pt idx="2">
                  <c:v>#N/A</c:v>
                </c:pt>
                <c:pt idx="3">
                  <c:v>2.6812499999999999</c:v>
                </c:pt>
                <c:pt idx="4">
                  <c:v>#N/A</c:v>
                </c:pt>
                <c:pt idx="5">
                  <c:v>5.233926701570681</c:v>
                </c:pt>
                <c:pt idx="6">
                  <c:v>7.0755147058823535</c:v>
                </c:pt>
                <c:pt idx="7">
                  <c:v>4.4412222222222217</c:v>
                </c:pt>
                <c:pt idx="8">
                  <c:v>3.8162499999999997</c:v>
                </c:pt>
                <c:pt idx="9">
                  <c:v>5.1838742393509127</c:v>
                </c:pt>
              </c:numCache>
            </c:numRef>
          </c:val>
        </c:ser>
        <c:dLbls>
          <c:showLegendKey val="0"/>
          <c:showVal val="0"/>
          <c:showCatName val="0"/>
          <c:showSerName val="0"/>
          <c:showPercent val="0"/>
          <c:showBubbleSize val="0"/>
        </c:dLbls>
        <c:gapWidth val="150"/>
        <c:axId val="250715136"/>
        <c:axId val="301441024"/>
      </c:barChart>
      <c:catAx>
        <c:axId val="250715136"/>
        <c:scaling>
          <c:orientation val="minMax"/>
        </c:scaling>
        <c:delete val="0"/>
        <c:axPos val="b"/>
        <c:title>
          <c:layout/>
          <c:overlay val="0"/>
        </c:title>
        <c:majorTickMark val="none"/>
        <c:minorTickMark val="none"/>
        <c:tickLblPos val="nextTo"/>
        <c:crossAx val="301441024"/>
        <c:crosses val="autoZero"/>
        <c:auto val="1"/>
        <c:lblAlgn val="ctr"/>
        <c:lblOffset val="100"/>
        <c:noMultiLvlLbl val="0"/>
      </c:catAx>
      <c:valAx>
        <c:axId val="301441024"/>
        <c:scaling>
          <c:orientation val="minMax"/>
        </c:scaling>
        <c:delete val="0"/>
        <c:axPos val="l"/>
        <c:majorGridlines/>
        <c:title>
          <c:layout/>
          <c:overlay val="0"/>
        </c:title>
        <c:numFmt formatCode="0.00%" sourceLinked="1"/>
        <c:majorTickMark val="out"/>
        <c:minorTickMark val="none"/>
        <c:tickLblPos val="nextTo"/>
        <c:crossAx val="2507151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923924</xdr:colOff>
      <xdr:row>1</xdr:row>
      <xdr:rowOff>28575</xdr:rowOff>
    </xdr:from>
    <xdr:to>
      <xdr:col>10</xdr:col>
      <xdr:colOff>200024</xdr:colOff>
      <xdr:row>15</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1000125</xdr:colOff>
      <xdr:row>17</xdr:row>
      <xdr:rowOff>66675</xdr:rowOff>
    </xdr:from>
    <xdr:to>
      <xdr:col>10</xdr:col>
      <xdr:colOff>390525</xdr:colOff>
      <xdr:row>31</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819150</xdr:colOff>
      <xdr:row>34</xdr:row>
      <xdr:rowOff>28575</xdr:rowOff>
    </xdr:from>
    <xdr:to>
      <xdr:col>11</xdr:col>
      <xdr:colOff>285750</xdr:colOff>
      <xdr:row>48</xdr:row>
      <xdr:rowOff>104775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295275</xdr:colOff>
      <xdr:row>26</xdr:row>
      <xdr:rowOff>9525</xdr:rowOff>
    </xdr:from>
    <xdr:to>
      <xdr:col>15</xdr:col>
      <xdr:colOff>352425</xdr:colOff>
      <xdr:row>39</xdr:row>
      <xdr:rowOff>57150</xdr:rowOff>
    </xdr:to>
    <mc:AlternateContent xmlns:mc="http://schemas.openxmlformats.org/markup-compatibility/2006">
      <mc:Choice xmlns:a14="http://schemas.microsoft.com/office/drawing/2010/main" Requires="a14">
        <xdr:graphicFrame macro="">
          <xdr:nvGraphicFramePr>
            <xdr:cNvPr id="6"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11191875" y="4962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200025</xdr:colOff>
      <xdr:row>11</xdr:row>
      <xdr:rowOff>95250</xdr:rowOff>
    </xdr:from>
    <xdr:to>
      <xdr:col>16</xdr:col>
      <xdr:colOff>190500</xdr:colOff>
      <xdr:row>24</xdr:row>
      <xdr:rowOff>142875</xdr:rowOff>
    </xdr:to>
    <mc:AlternateContent xmlns:mc="http://schemas.openxmlformats.org/markup-compatibility/2006">
      <mc:Choice xmlns:a14="http://schemas.microsoft.com/office/drawing/2010/main" Requires="a14">
        <xdr:graphicFrame macro="">
          <xdr:nvGraphicFramePr>
            <xdr:cNvPr id="7" name="Discount categoty"/>
            <xdr:cNvGraphicFramePr/>
          </xdr:nvGraphicFramePr>
          <xdr:xfrm>
            <a:off x="0" y="0"/>
            <a:ext cx="0" cy="0"/>
          </xdr:xfrm>
          <a:graphic>
            <a:graphicData uri="http://schemas.microsoft.com/office/drawing/2010/slicer">
              <sle:slicer xmlns:sle="http://schemas.microsoft.com/office/drawing/2010/slicer" name="Discount categoty"/>
            </a:graphicData>
          </a:graphic>
        </xdr:graphicFrame>
      </mc:Choice>
      <mc:Fallback>
        <xdr:sp macro="" textlink="">
          <xdr:nvSpPr>
            <xdr:cNvPr id="0" name=""/>
            <xdr:cNvSpPr>
              <a:spLocks noTextEdit="1"/>
            </xdr:cNvSpPr>
          </xdr:nvSpPr>
          <xdr:spPr>
            <a:xfrm>
              <a:off x="11506200" y="2190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590549</xdr:colOff>
      <xdr:row>0</xdr:row>
      <xdr:rowOff>104776</xdr:rowOff>
    </xdr:from>
    <xdr:to>
      <xdr:col>13</xdr:col>
      <xdr:colOff>590550</xdr:colOff>
      <xdr:row>2</xdr:row>
      <xdr:rowOff>123826</xdr:rowOff>
    </xdr:to>
    <xdr:sp macro="" textlink="">
      <xdr:nvSpPr>
        <xdr:cNvPr id="2" name="Rectangle 1"/>
        <xdr:cNvSpPr/>
      </xdr:nvSpPr>
      <xdr:spPr>
        <a:xfrm>
          <a:off x="1200149" y="104776"/>
          <a:ext cx="7315201" cy="40005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accent6"/>
              </a:solidFill>
            </a:rPr>
            <a:t>JUMIA</a:t>
          </a:r>
          <a:r>
            <a:rPr lang="en-US" sz="2800" b="1" baseline="0">
              <a:solidFill>
                <a:schemeClr val="accent6"/>
              </a:solidFill>
            </a:rPr>
            <a:t> PERFOMANCE PRODUCT DASHBOARD</a:t>
          </a:r>
          <a:endParaRPr lang="en-US" sz="2800" b="1">
            <a:solidFill>
              <a:schemeClr val="accent6"/>
            </a:solidFill>
          </a:endParaRPr>
        </a:p>
      </xdr:txBody>
    </xdr:sp>
    <xdr:clientData/>
  </xdr:twoCellAnchor>
  <xdr:twoCellAnchor>
    <xdr:from>
      <xdr:col>1</xdr:col>
      <xdr:colOff>552449</xdr:colOff>
      <xdr:row>4</xdr:row>
      <xdr:rowOff>114300</xdr:rowOff>
    </xdr:from>
    <xdr:to>
      <xdr:col>4</xdr:col>
      <xdr:colOff>438150</xdr:colOff>
      <xdr:row>7</xdr:row>
      <xdr:rowOff>123825</xdr:rowOff>
    </xdr:to>
    <xdr:sp macro="" textlink="">
      <xdr:nvSpPr>
        <xdr:cNvPr id="3" name="Rectangle 2"/>
        <xdr:cNvSpPr/>
      </xdr:nvSpPr>
      <xdr:spPr>
        <a:xfrm>
          <a:off x="1162049" y="876300"/>
          <a:ext cx="1714501" cy="5810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TOTAL PRODUCTS</a:t>
          </a:r>
        </a:p>
        <a:p>
          <a:pPr algn="l"/>
          <a:r>
            <a:rPr lang="en-US" sz="1100"/>
            <a:t>               113</a:t>
          </a:r>
        </a:p>
      </xdr:txBody>
    </xdr:sp>
    <xdr:clientData/>
  </xdr:twoCellAnchor>
  <xdr:twoCellAnchor>
    <xdr:from>
      <xdr:col>12</xdr:col>
      <xdr:colOff>66675</xdr:colOff>
      <xdr:row>4</xdr:row>
      <xdr:rowOff>47625</xdr:rowOff>
    </xdr:from>
    <xdr:to>
      <xdr:col>14</xdr:col>
      <xdr:colOff>314325</xdr:colOff>
      <xdr:row>7</xdr:row>
      <xdr:rowOff>104775</xdr:rowOff>
    </xdr:to>
    <xdr:sp macro="" textlink="">
      <xdr:nvSpPr>
        <xdr:cNvPr id="4" name="Rectangle 3"/>
        <xdr:cNvSpPr/>
      </xdr:nvSpPr>
      <xdr:spPr>
        <a:xfrm>
          <a:off x="7381875" y="809625"/>
          <a:ext cx="14668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TOTAL REVIEW</a:t>
          </a:r>
        </a:p>
        <a:p>
          <a:pPr algn="l"/>
          <a:r>
            <a:rPr lang="en-US" sz="1100"/>
            <a:t>          723</a:t>
          </a:r>
        </a:p>
      </xdr:txBody>
    </xdr:sp>
    <xdr:clientData/>
  </xdr:twoCellAnchor>
  <xdr:twoCellAnchor>
    <xdr:from>
      <xdr:col>5</xdr:col>
      <xdr:colOff>428625</xdr:colOff>
      <xdr:row>4</xdr:row>
      <xdr:rowOff>123824</xdr:rowOff>
    </xdr:from>
    <xdr:to>
      <xdr:col>8</xdr:col>
      <xdr:colOff>123825</xdr:colOff>
      <xdr:row>7</xdr:row>
      <xdr:rowOff>123825</xdr:rowOff>
    </xdr:to>
    <xdr:sp macro="" textlink="">
      <xdr:nvSpPr>
        <xdr:cNvPr id="6" name="Rectangle 5"/>
        <xdr:cNvSpPr/>
      </xdr:nvSpPr>
      <xdr:spPr>
        <a:xfrm>
          <a:off x="3476625" y="885824"/>
          <a:ext cx="1524000" cy="57150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AVERAGE RATINGS</a:t>
          </a:r>
        </a:p>
        <a:p>
          <a:pPr algn="l"/>
          <a:r>
            <a:rPr lang="en-US" sz="1100"/>
            <a:t>               3.9</a:t>
          </a:r>
        </a:p>
      </xdr:txBody>
    </xdr:sp>
    <xdr:clientData/>
  </xdr:twoCellAnchor>
  <xdr:twoCellAnchor>
    <xdr:from>
      <xdr:col>9</xdr:col>
      <xdr:colOff>28575</xdr:colOff>
      <xdr:row>4</xdr:row>
      <xdr:rowOff>104775</xdr:rowOff>
    </xdr:from>
    <xdr:to>
      <xdr:col>11</xdr:col>
      <xdr:colOff>390525</xdr:colOff>
      <xdr:row>7</xdr:row>
      <xdr:rowOff>104774</xdr:rowOff>
    </xdr:to>
    <xdr:sp macro="" textlink="">
      <xdr:nvSpPr>
        <xdr:cNvPr id="7" name="Rectangle 6"/>
        <xdr:cNvSpPr/>
      </xdr:nvSpPr>
      <xdr:spPr>
        <a:xfrm>
          <a:off x="5514975" y="866775"/>
          <a:ext cx="1581150" cy="5714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AVERAGE DISCOUNT %</a:t>
          </a:r>
        </a:p>
        <a:p>
          <a:pPr algn="l"/>
          <a:r>
            <a:rPr lang="en-US" sz="1100"/>
            <a:t>          36.7%</a:t>
          </a:r>
        </a:p>
      </xdr:txBody>
    </xdr:sp>
    <xdr:clientData/>
  </xdr:twoCellAnchor>
  <xdr:twoCellAnchor>
    <xdr:from>
      <xdr:col>0</xdr:col>
      <xdr:colOff>590550</xdr:colOff>
      <xdr:row>9</xdr:row>
      <xdr:rowOff>142875</xdr:rowOff>
    </xdr:from>
    <xdr:to>
      <xdr:col>7</xdr:col>
      <xdr:colOff>295275</xdr:colOff>
      <xdr:row>24</xdr:row>
      <xdr:rowOff>28575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171450</xdr:colOff>
      <xdr:row>9</xdr:row>
      <xdr:rowOff>133350</xdr:rowOff>
    </xdr:from>
    <xdr:to>
      <xdr:col>14</xdr:col>
      <xdr:colOff>600075</xdr:colOff>
      <xdr:row>24</xdr:row>
      <xdr:rowOff>19050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333375</xdr:colOff>
      <xdr:row>25</xdr:row>
      <xdr:rowOff>104775</xdr:rowOff>
    </xdr:from>
    <xdr:to>
      <xdr:col>12</xdr:col>
      <xdr:colOff>28575</xdr:colOff>
      <xdr:row>39</xdr:row>
      <xdr:rowOff>180975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533400</xdr:colOff>
      <xdr:row>9</xdr:row>
      <xdr:rowOff>180975</xdr:rowOff>
    </xdr:from>
    <xdr:to>
      <xdr:col>18</xdr:col>
      <xdr:colOff>533400</xdr:colOff>
      <xdr:row>23</xdr:row>
      <xdr:rowOff>38100</xdr:rowOff>
    </xdr:to>
    <mc:AlternateContent xmlns:mc="http://schemas.openxmlformats.org/markup-compatibility/2006">
      <mc:Choice xmlns:a14="http://schemas.microsoft.com/office/drawing/2010/main" Requires="a14">
        <xdr:graphicFrame macro="">
          <xdr:nvGraphicFramePr>
            <xdr:cNvPr id="13" name="Discount categoty 1"/>
            <xdr:cNvGraphicFramePr/>
          </xdr:nvGraphicFramePr>
          <xdr:xfrm>
            <a:off x="0" y="0"/>
            <a:ext cx="0" cy="0"/>
          </xdr:xfrm>
          <a:graphic>
            <a:graphicData uri="http://schemas.microsoft.com/office/drawing/2010/slicer">
              <sle:slicer xmlns:sle="http://schemas.microsoft.com/office/drawing/2010/slicer" name="Discount categoty 1"/>
            </a:graphicData>
          </a:graphic>
        </xdr:graphicFrame>
      </mc:Choice>
      <mc:Fallback>
        <xdr:sp macro="" textlink="">
          <xdr:nvSpPr>
            <xdr:cNvPr id="0" name=""/>
            <xdr:cNvSpPr>
              <a:spLocks noTextEdit="1"/>
            </xdr:cNvSpPr>
          </xdr:nvSpPr>
          <xdr:spPr>
            <a:xfrm>
              <a:off x="9677400" y="1895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257175</xdr:colOff>
      <xdr:row>49</xdr:row>
      <xdr:rowOff>85725</xdr:rowOff>
    </xdr:from>
    <xdr:to>
      <xdr:col>18</xdr:col>
      <xdr:colOff>257175</xdr:colOff>
      <xdr:row>62</xdr:row>
      <xdr:rowOff>133350</xdr:rowOff>
    </xdr:to>
    <mc:AlternateContent xmlns:mc="http://schemas.openxmlformats.org/markup-compatibility/2006">
      <mc:Choice xmlns:a14="http://schemas.microsoft.com/office/drawing/2010/main" Requires="a14">
        <xdr:graphicFrame macro="">
          <xdr:nvGraphicFramePr>
            <xdr:cNvPr id="15" name="rating category 1"/>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9401175" y="9420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29</xdr:row>
      <xdr:rowOff>0</xdr:rowOff>
    </xdr:from>
    <xdr:to>
      <xdr:col>19</xdr:col>
      <xdr:colOff>0</xdr:colOff>
      <xdr:row>42</xdr:row>
      <xdr:rowOff>47625</xdr:rowOff>
    </xdr:to>
    <mc:AlternateContent xmlns:mc="http://schemas.openxmlformats.org/markup-compatibility/2006">
      <mc:Choice xmlns:a14="http://schemas.microsoft.com/office/drawing/2010/main" Requires="a14">
        <xdr:graphicFrame macro="">
          <xdr:nvGraphicFramePr>
            <xdr:cNvPr id="17" name="rating category 2"/>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dr:sp macro="" textlink="">
          <xdr:nvSpPr>
            <xdr:cNvPr id="0" name=""/>
            <xdr:cNvSpPr>
              <a:spLocks noTextEdit="1"/>
            </xdr:cNvSpPr>
          </xdr:nvSpPr>
          <xdr:spPr>
            <a:xfrm>
              <a:off x="9753600" y="552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PC" refreshedDate="46185.568152777778" createdVersion="4" refreshedVersion="4" minRefreshableVersion="3" recordCount="112">
  <cacheSource type="worksheet">
    <worksheetSource ref="A1:L113" sheet="Excel_jumia_dataset assignment "/>
  </cacheSource>
  <cacheFields count="12">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abs discount" numFmtId="2">
      <sharedItems containsSemiMixedTypes="0" containsString="0" containsNumber="1" containsInteger="1" minValue="24" maxValue="2585"/>
    </cacheField>
    <cacheField name="abs discount2" numFmtId="10">
      <sharedItems containsSemiMixedTypes="0" containsString="0" containsNumber="1" minValue="1.2638230647709321E-2" maxValue="0.64014466546112114"/>
    </cacheField>
    <cacheField name="Discount" numFmtId="9">
      <sharedItems containsSemiMixedTypes="0" containsString="0" containsNumber="1" minValue="0.01" maxValue="0.64"/>
    </cacheField>
    <cacheField name="Review" numFmtId="0">
      <sharedItems containsString="0" containsBlank="1" containsNumber="1" containsInteger="1" minValue="-69" maxValue="-1"/>
    </cacheField>
    <cacheField name="abs review" numFmtId="0">
      <sharedItems containsMixedTypes="1" containsNumber="1" containsInteger="1" minValue="1" maxValue="69"/>
    </cacheField>
    <cacheField name="Rating" numFmtId="0">
      <sharedItems containsBlank="1"/>
    </cacheField>
    <cacheField name="abs rating" numFmtId="0">
      <sharedItems containsMixedTypes="1" containsNumber="1" minValue="2" maxValue="5"/>
    </cacheField>
    <cacheField name="rating category" numFmtId="0">
      <sharedItems count="4">
        <s v="EXCELLENT"/>
        <s v="AVERAGE"/>
        <s v=""/>
        <s v="POOR"/>
      </sharedItems>
    </cacheField>
    <cacheField name="Discount categoty" numFmtId="0">
      <sharedItems count="3">
        <s v="MEDIUM"/>
        <s v="HIGH DISCOUNT"/>
        <s v="LOW DISCOUNT"/>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C" refreshedDate="46185.570433217596" createdVersion="4" refreshedVersion="4" minRefreshableVersion="3" recordCount="122">
  <cacheSource type="worksheet">
    <worksheetSource ref="A1:L1048576" sheet="Excel_jumia_dataset assignment "/>
  </cacheSource>
  <cacheFields count="12">
    <cacheField name="Product" numFmtId="0">
      <sharedItems containsBlank="1"/>
    </cacheField>
    <cacheField name="Current price" numFmtId="0">
      <sharedItems containsBlank="1" containsMixedTypes="1" containsNumber="1" minValue="38" maxValue="3750" count="107">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m/>
        <n v="1186.8928571428571"/>
        <s v="32PCS Portable Cordless Drill Set With Cyclic Battery Drive -26 Variable Speed"/>
        <s v="3PCS Single Head Knitting Crochet Sweater Needle Set"/>
      </sharedItems>
    </cacheField>
    <cacheField name="old price" numFmtId="0">
      <sharedItems containsString="0" containsBlank="1" containsNumber="1" minValue="80" maxValue="6143"/>
    </cacheField>
    <cacheField name="abs discount" numFmtId="0">
      <sharedItems containsString="0" containsBlank="1" containsNumber="1" containsInteger="1" minValue="24" maxValue="2585"/>
    </cacheField>
    <cacheField name="abs discount %" numFmtId="0">
      <sharedItems containsString="0" containsBlank="1" containsNumber="1" minValue="1.2638230647709321E-2" maxValue="0.64014466546112114"/>
    </cacheField>
    <cacheField name="Discount" numFmtId="0">
      <sharedItems containsString="0" containsBlank="1" containsNumber="1" minValue="0.01" maxValue="0.64"/>
    </cacheField>
    <cacheField name="Review" numFmtId="0">
      <sharedItems containsString="0" containsBlank="1" containsNumber="1" containsInteger="1" minValue="-69" maxValue="-1"/>
    </cacheField>
    <cacheField name="abs review" numFmtId="0">
      <sharedItems containsBlank="1" containsMixedTypes="1" containsNumber="1" containsInteger="1" minValue="1" maxValue="69"/>
    </cacheField>
    <cacheField name="Rating" numFmtId="0">
      <sharedItems containsBlank="1"/>
    </cacheField>
    <cacheField name="abs rating" numFmtId="0">
      <sharedItems containsBlank="1" containsMixedTypes="1" containsNumber="1" minValue="2" maxValue="5"/>
    </cacheField>
    <cacheField name="rating category" numFmtId="0">
      <sharedItems containsBlank="1" count="5">
        <s v="EXCELLENT"/>
        <s v="AVERAGE"/>
        <s v=""/>
        <s v="POOR"/>
        <m/>
      </sharedItems>
    </cacheField>
    <cacheField name="Discount categoty" numFmtId="0">
      <sharedItems containsBlank="1" count="4">
        <s v="MEDIUM"/>
        <s v="HIGH DISCOUNT"/>
        <s v="LOW DISCOUNT"/>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PC" refreshedDate="46185.653666435188" createdVersion="4" refreshedVersion="4" minRefreshableVersion="3" recordCount="112">
  <cacheSource type="worksheet">
    <worksheetSource ref="A1:M113" sheet="Excel_jumia_dataset assignment "/>
  </cacheSource>
  <cacheFields count="13">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abs discount" numFmtId="2">
      <sharedItems containsSemiMixedTypes="0" containsString="0" containsNumber="1" containsInteger="1" minValue="24" maxValue="2585"/>
    </cacheField>
    <cacheField name="abs discount %" numFmtId="10">
      <sharedItems containsSemiMixedTypes="0" containsString="0" containsNumber="1" minValue="1.2638230647709321E-2" maxValue="0.64014466546112114" count="105">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5546875"/>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48985507246376814"/>
        <n v="0.13713949381989404"/>
        <n v="0.48975791433891991"/>
        <n v="0.11222222222222222"/>
        <n v="0.48990683229813664"/>
        <n v="0.13596233078281342"/>
        <n v="0.42727272727272725"/>
        <n v="0.48"/>
        <n v="0.47499999999999998"/>
        <n v="0.47086521483225424"/>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n v="0.64014466546112114"/>
        <n v="0.47187499999999999"/>
      </sharedItems>
    </cacheField>
    <cacheField name="Discount" numFmtId="9">
      <sharedItems containsSemiMixedTypes="0" containsString="0" containsNumber="1" minValue="0.01" maxValue="0.64"/>
    </cacheField>
    <cacheField name="Review" numFmtId="0">
      <sharedItems containsString="0" containsBlank="1" containsNumber="1" containsInteger="1" minValue="-69" maxValue="-1"/>
    </cacheField>
    <cacheField name="abs review" numFmtId="0">
      <sharedItems containsMixedTypes="1" containsNumber="1" containsInteger="1" minValue="1" maxValue="69"/>
    </cacheField>
    <cacheField name="Rating" numFmtId="0">
      <sharedItems containsBlank="1"/>
    </cacheField>
    <cacheField name="abs rating" numFmtId="0">
      <sharedItems containsMixedTypes="1" containsNumber="1" minValue="2" maxValue="5"/>
    </cacheField>
    <cacheField name="rating category" numFmtId="0">
      <sharedItems/>
    </cacheField>
    <cacheField name="Discount categoty" numFmtId="0">
      <sharedItems/>
    </cacheField>
    <cacheField name="Perfomance score" numFmtId="2">
      <sharedItems containsMixedTypes="1" containsNumber="1" minValue="1.2250000000000001" maxValue="28.7025658648339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2">
  <r>
    <x v="0"/>
    <n v="950"/>
    <n v="1525"/>
    <n v="575"/>
    <n v="0.37704918032786883"/>
    <n v="0.38"/>
    <n v="-2"/>
    <n v="2"/>
    <s v="4.5 out of 5"/>
    <n v="4.5"/>
    <x v="0"/>
    <x v="0"/>
  </r>
  <r>
    <x v="1"/>
    <n v="527"/>
    <n v="999"/>
    <n v="472"/>
    <n v="0.47247247247247248"/>
    <n v="0.47"/>
    <n v="-14"/>
    <n v="14"/>
    <s v="4.1 out of 5"/>
    <n v="4.0999999999999996"/>
    <x v="0"/>
    <x v="1"/>
  </r>
  <r>
    <x v="2"/>
    <n v="2199"/>
    <n v="2923"/>
    <n v="724"/>
    <n v="0.24769072870338693"/>
    <n v="0.25"/>
    <n v="-24"/>
    <n v="24"/>
    <s v="4.6 out of 5"/>
    <n v="4.5999999999999996"/>
    <x v="0"/>
    <x v="0"/>
  </r>
  <r>
    <x v="3"/>
    <n v="1580"/>
    <n v="2499"/>
    <n v="919"/>
    <n v="0.36774709883953582"/>
    <n v="0.37"/>
    <n v="-7"/>
    <n v="7"/>
    <s v="4.7 out of 5"/>
    <n v="4.7"/>
    <x v="0"/>
    <x v="0"/>
  </r>
  <r>
    <x v="4"/>
    <n v="1740"/>
    <n v="2356"/>
    <n v="616"/>
    <n v="0.26146010186757218"/>
    <n v="0.26"/>
    <n v="-5"/>
    <n v="5"/>
    <s v="4.8 out of 5"/>
    <n v="4.8"/>
    <x v="0"/>
    <x v="0"/>
  </r>
  <r>
    <x v="5"/>
    <n v="2999"/>
    <n v="3290"/>
    <n v="291"/>
    <n v="8.8449848024316116E-2"/>
    <n v="0.09"/>
    <n v="-15"/>
    <n v="15"/>
    <s v="4 out of 5"/>
    <n v="4"/>
    <x v="1"/>
    <x v="2"/>
  </r>
  <r>
    <x v="6"/>
    <n v="2319"/>
    <n v="3032"/>
    <n v="713"/>
    <n v="0.23515831134564644"/>
    <n v="0.24"/>
    <n v="-55"/>
    <n v="55"/>
    <s v="4.6 out of 5"/>
    <n v="4.5999999999999996"/>
    <x v="0"/>
    <x v="0"/>
  </r>
  <r>
    <x v="7"/>
    <n v="988"/>
    <n v="1580"/>
    <n v="592"/>
    <n v="0.37468354430379747"/>
    <n v="0.37"/>
    <n v="-2"/>
    <n v="2"/>
    <s v="4 out of 5"/>
    <n v="4"/>
    <x v="1"/>
    <x v="0"/>
  </r>
  <r>
    <x v="8"/>
    <n v="1274"/>
    <n v="2800"/>
    <n v="1526"/>
    <n v="0.54500000000000004"/>
    <n v="0.55000000000000004"/>
    <n v="-5"/>
    <n v="5"/>
    <s v="4.8 out of 5"/>
    <n v="4.8"/>
    <x v="0"/>
    <x v="1"/>
  </r>
  <r>
    <x v="9"/>
    <n v="1600"/>
    <n v="2929"/>
    <n v="1329"/>
    <n v="0.45373847729600547"/>
    <n v="0.45"/>
    <n v="-5"/>
    <n v="5"/>
    <s v="3.8 out of 5"/>
    <n v="3.8"/>
    <x v="1"/>
    <x v="1"/>
  </r>
  <r>
    <x v="10"/>
    <n v="799"/>
    <n v="999"/>
    <n v="200"/>
    <n v="0.20020020020020021"/>
    <n v="0.2"/>
    <n v="-12"/>
    <n v="12"/>
    <s v="4.1 out of 5"/>
    <n v="4.0999999999999996"/>
    <x v="0"/>
    <x v="0"/>
  </r>
  <r>
    <x v="11"/>
    <n v="990"/>
    <n v="1500"/>
    <n v="510"/>
    <n v="0.34"/>
    <n v="0.34"/>
    <n v="-39"/>
    <n v="39"/>
    <s v="4.7 out of 5"/>
    <n v="4.7"/>
    <x v="0"/>
    <x v="0"/>
  </r>
  <r>
    <x v="12"/>
    <n v="552"/>
    <n v="1035"/>
    <n v="483"/>
    <n v="0.46666666666666667"/>
    <n v="0.47"/>
    <n v="-12"/>
    <n v="12"/>
    <s v="4.8 out of 5"/>
    <n v="4.8"/>
    <x v="0"/>
    <x v="1"/>
  </r>
  <r>
    <x v="13"/>
    <n v="501"/>
    <n v="860"/>
    <n v="359"/>
    <n v="0.41744186046511628"/>
    <n v="0.42"/>
    <n v="-6"/>
    <n v="6"/>
    <s v="4.5 out of 5"/>
    <n v="4.5"/>
    <x v="0"/>
    <x v="1"/>
  </r>
  <r>
    <x v="14"/>
    <n v="1680"/>
    <n v="2499"/>
    <n v="819"/>
    <n v="0.32773109243697479"/>
    <n v="0.33"/>
    <n v="-9"/>
    <n v="9"/>
    <s v="4.2 out of 5"/>
    <n v="4.2"/>
    <x v="0"/>
    <x v="0"/>
  </r>
  <r>
    <x v="15"/>
    <n v="332"/>
    <n v="684"/>
    <n v="352"/>
    <n v="0.51461988304093564"/>
    <n v="0.51"/>
    <n v="-2"/>
    <n v="2"/>
    <s v="5 out of 5"/>
    <n v="5"/>
    <x v="0"/>
    <x v="1"/>
  </r>
  <r>
    <x v="16"/>
    <n v="195"/>
    <n v="360"/>
    <n v="165"/>
    <n v="0.45833333333333331"/>
    <n v="0.46"/>
    <n v="-2"/>
    <n v="2"/>
    <s v="5 out of 5"/>
    <n v="5"/>
    <x v="0"/>
    <x v="1"/>
  </r>
  <r>
    <x v="17"/>
    <n v="2025"/>
    <n v="3971"/>
    <n v="1946"/>
    <n v="0.49005288340468395"/>
    <n v="0.49"/>
    <n v="-3"/>
    <n v="3"/>
    <s v="5 out of 5"/>
    <n v="5"/>
    <x v="0"/>
    <x v="1"/>
  </r>
  <r>
    <x v="18"/>
    <n v="2999"/>
    <n v="3699"/>
    <n v="700"/>
    <n v="0.18924033522573669"/>
    <n v="0.19"/>
    <n v="-5"/>
    <n v="5"/>
    <s v="4.6 out of 5"/>
    <n v="4.5999999999999996"/>
    <x v="0"/>
    <x v="2"/>
  </r>
  <r>
    <x v="19"/>
    <n v="998"/>
    <n v="1966"/>
    <n v="968"/>
    <n v="0.49237029501525942"/>
    <n v="0.49"/>
    <n v="-44"/>
    <n v="44"/>
    <s v="4.6 out of 5"/>
    <n v="4.5999999999999996"/>
    <x v="0"/>
    <x v="1"/>
  </r>
  <r>
    <x v="20"/>
    <n v="38"/>
    <n v="80"/>
    <n v="42"/>
    <n v="0.52500000000000002"/>
    <n v="0.53"/>
    <n v="-13"/>
    <n v="13"/>
    <s v="3.3 out of 5"/>
    <n v="3.3"/>
    <x v="1"/>
    <x v="1"/>
  </r>
  <r>
    <x v="21"/>
    <n v="1860"/>
    <n v="3220"/>
    <n v="1360"/>
    <n v="0.42236024844720499"/>
    <n v="0.42"/>
    <m/>
    <s v=""/>
    <m/>
    <s v=""/>
    <x v="2"/>
    <x v="1"/>
  </r>
  <r>
    <x v="22"/>
    <n v="880"/>
    <n v="1350"/>
    <n v="470"/>
    <n v="0.34814814814814815"/>
    <n v="0.35"/>
    <n v="-6"/>
    <n v="6"/>
    <s v="4 out of 5"/>
    <n v="4"/>
    <x v="1"/>
    <x v="0"/>
  </r>
  <r>
    <x v="23"/>
    <n v="1650"/>
    <n v="2150"/>
    <n v="500"/>
    <n v="0.23255813953488372"/>
    <n v="0.23"/>
    <n v="-14"/>
    <n v="14"/>
    <s v="4.4 out of 5"/>
    <n v="4.4000000000000004"/>
    <x v="0"/>
    <x v="0"/>
  </r>
  <r>
    <x v="24"/>
    <n v="2048"/>
    <n v="4500"/>
    <n v="2452"/>
    <n v="0.54488888888888887"/>
    <n v="0.54"/>
    <n v="-7"/>
    <n v="7"/>
    <s v="4.3 out of 5"/>
    <n v="4.3"/>
    <x v="0"/>
    <x v="1"/>
  </r>
  <r>
    <x v="25"/>
    <n v="420"/>
    <n v="647"/>
    <n v="227"/>
    <n v="0.3508500772797527"/>
    <n v="0.35"/>
    <n v="-49"/>
    <n v="49"/>
    <s v="4.6 out of 5"/>
    <n v="4.5999999999999996"/>
    <x v="0"/>
    <x v="0"/>
  </r>
  <r>
    <x v="26"/>
    <n v="2880"/>
    <n v="3520"/>
    <n v="640"/>
    <n v="0.18181818181818182"/>
    <n v="0.18"/>
    <n v="-12"/>
    <n v="12"/>
    <s v="3.8 out of 5"/>
    <n v="3.8"/>
    <x v="1"/>
    <x v="2"/>
  </r>
  <r>
    <x v="27"/>
    <n v="1350"/>
    <n v="1990"/>
    <n v="640"/>
    <n v="0.32160804020100503"/>
    <n v="0.32"/>
    <n v="-13"/>
    <n v="13"/>
    <s v="3.8 out of 5"/>
    <n v="3.8"/>
    <x v="1"/>
    <x v="0"/>
  </r>
  <r>
    <x v="28"/>
    <n v="1758"/>
    <n v="2499"/>
    <n v="741"/>
    <n v="0.2965186074429772"/>
    <n v="0.3"/>
    <n v="-20"/>
    <n v="20"/>
    <s v="4.1 out of 5"/>
    <n v="4.0999999999999996"/>
    <x v="0"/>
    <x v="0"/>
  </r>
  <r>
    <x v="29"/>
    <n v="2200"/>
    <n v="4080"/>
    <n v="1880"/>
    <n v="0.46078431372549017"/>
    <n v="0.46"/>
    <m/>
    <s v=""/>
    <m/>
    <s v=""/>
    <x v="2"/>
    <x v="1"/>
  </r>
  <r>
    <x v="30"/>
    <n v="185"/>
    <n v="382"/>
    <n v="197"/>
    <n v="0.51570680628272247"/>
    <n v="0.52"/>
    <n v="-9"/>
    <n v="9"/>
    <s v="4.3 out of 5"/>
    <n v="4.3"/>
    <x v="0"/>
    <x v="1"/>
  </r>
  <r>
    <x v="31"/>
    <n v="980"/>
    <n v="1490"/>
    <n v="510"/>
    <n v="0.34228187919463088"/>
    <n v="0.34"/>
    <n v="-12"/>
    <n v="12"/>
    <s v="4.7 out of 5"/>
    <n v="4.7"/>
    <x v="0"/>
    <x v="0"/>
  </r>
  <r>
    <x v="32"/>
    <n v="1820"/>
    <n v="3490"/>
    <n v="1670"/>
    <n v="0.47851002865329512"/>
    <n v="0.48"/>
    <n v="-9"/>
    <n v="9"/>
    <s v="4.3 out of 5"/>
    <n v="4.3"/>
    <x v="0"/>
    <x v="1"/>
  </r>
  <r>
    <x v="33"/>
    <n v="1940"/>
    <n v="2650"/>
    <n v="710"/>
    <n v="0.26792452830188679"/>
    <n v="0.27"/>
    <n v="-20"/>
    <n v="20"/>
    <s v="4.7 out of 5"/>
    <n v="4.7"/>
    <x v="0"/>
    <x v="0"/>
  </r>
  <r>
    <x v="34"/>
    <n v="1980"/>
    <n v="2699"/>
    <n v="719"/>
    <n v="0.26639496109670247"/>
    <n v="0.27"/>
    <n v="-32"/>
    <n v="32"/>
    <s v="4.5 out of 5"/>
    <n v="4.5"/>
    <x v="0"/>
    <x v="0"/>
  </r>
  <r>
    <x v="35"/>
    <n v="1620"/>
    <n v="2690"/>
    <n v="1070"/>
    <n v="0.39776951672862454"/>
    <n v="0.4"/>
    <n v="-1"/>
    <n v="1"/>
    <s v="5 out of 5"/>
    <n v="5"/>
    <x v="0"/>
    <x v="0"/>
  </r>
  <r>
    <x v="36"/>
    <n v="171"/>
    <n v="360"/>
    <n v="189"/>
    <n v="0.52500000000000002"/>
    <n v="0.53"/>
    <n v="-2"/>
    <n v="2"/>
    <s v="5 out of 5"/>
    <n v="5"/>
    <x v="0"/>
    <x v="1"/>
  </r>
  <r>
    <x v="37"/>
    <n v="389"/>
    <n v="656"/>
    <n v="267"/>
    <n v="0.40701219512195119"/>
    <n v="0.41"/>
    <n v="-36"/>
    <n v="36"/>
    <s v="4.3 out of 5"/>
    <n v="4.3"/>
    <x v="0"/>
    <x v="1"/>
  </r>
  <r>
    <x v="38"/>
    <n v="1800"/>
    <n v="2700"/>
    <n v="900"/>
    <n v="0.33333333333333331"/>
    <n v="0.38"/>
    <n v="-2"/>
    <n v="2"/>
    <s v="4.5 out of 5"/>
    <n v="4.5"/>
    <x v="0"/>
    <x v="0"/>
  </r>
  <r>
    <x v="39"/>
    <n v="2750"/>
    <n v="4471"/>
    <n v="1721"/>
    <n v="0.38492507269067322"/>
    <n v="0.38"/>
    <m/>
    <s v=""/>
    <m/>
    <s v=""/>
    <x v="2"/>
    <x v="0"/>
  </r>
  <r>
    <x v="40"/>
    <n v="475"/>
    <n v="931"/>
    <n v="456"/>
    <n v="0.48979591836734693"/>
    <n v="0.49"/>
    <m/>
    <s v=""/>
    <m/>
    <s v=""/>
    <x v="2"/>
    <x v="1"/>
  </r>
  <r>
    <x v="41"/>
    <n v="238"/>
    <n v="476"/>
    <n v="238"/>
    <n v="0.5"/>
    <n v="0.5"/>
    <m/>
    <s v=""/>
    <m/>
    <s v=""/>
    <x v="2"/>
    <x v="1"/>
  </r>
  <r>
    <x v="42"/>
    <n v="610"/>
    <n v="1060"/>
    <n v="450"/>
    <n v="0.42452830188679247"/>
    <n v="0.42"/>
    <m/>
    <s v=""/>
    <m/>
    <s v=""/>
    <x v="2"/>
    <x v="1"/>
  </r>
  <r>
    <x v="43"/>
    <n v="2132"/>
    <n v="2169"/>
    <n v="37"/>
    <n v="1.705855232826187E-2"/>
    <n v="0.02"/>
    <m/>
    <s v=""/>
    <m/>
    <s v=""/>
    <x v="2"/>
    <x v="2"/>
  </r>
  <r>
    <x v="44"/>
    <n v="999"/>
    <n v="2000"/>
    <n v="1001"/>
    <n v="0.50049999999999994"/>
    <n v="0.5"/>
    <m/>
    <s v=""/>
    <m/>
    <s v=""/>
    <x v="2"/>
    <x v="1"/>
  </r>
  <r>
    <x v="45"/>
    <n v="1190"/>
    <n v="1785"/>
    <n v="595"/>
    <n v="0.33333333333333331"/>
    <n v="0.33"/>
    <m/>
    <s v=""/>
    <m/>
    <s v=""/>
    <x v="2"/>
    <x v="0"/>
  </r>
  <r>
    <x v="46"/>
    <n v="671"/>
    <n v="1316"/>
    <n v="645"/>
    <n v="0.49012158054711247"/>
    <n v="0.49"/>
    <m/>
    <s v=""/>
    <m/>
    <s v=""/>
    <x v="2"/>
    <x v="1"/>
  </r>
  <r>
    <x v="47"/>
    <n v="1200"/>
    <n v="1950"/>
    <n v="750"/>
    <n v="0.38461538461538464"/>
    <n v="0.38"/>
    <m/>
    <s v=""/>
    <m/>
    <s v=""/>
    <x v="2"/>
    <x v="0"/>
  </r>
  <r>
    <x v="48"/>
    <n v="199"/>
    <n v="504"/>
    <n v="305"/>
    <n v="0.60515873015873012"/>
    <n v="0.61"/>
    <m/>
    <s v=""/>
    <m/>
    <s v=""/>
    <x v="2"/>
    <x v="1"/>
  </r>
  <r>
    <x v="49"/>
    <n v="299"/>
    <n v="600"/>
    <n v="301"/>
    <n v="0.50166666666666671"/>
    <n v="0.5"/>
    <m/>
    <s v=""/>
    <m/>
    <s v=""/>
    <x v="2"/>
    <x v="1"/>
  </r>
  <r>
    <x v="50"/>
    <n v="1660"/>
    <n v="1699"/>
    <n v="39"/>
    <n v="2.2954679223072396E-2"/>
    <n v="0.02"/>
    <m/>
    <s v=""/>
    <m/>
    <s v=""/>
    <x v="2"/>
    <x v="2"/>
  </r>
  <r>
    <x v="51"/>
    <n v="299"/>
    <n v="384"/>
    <n v="85"/>
    <n v="0.22135416666666666"/>
    <n v="0.22"/>
    <m/>
    <s v=""/>
    <m/>
    <s v=""/>
    <x v="2"/>
    <x v="0"/>
  </r>
  <r>
    <x v="52"/>
    <n v="1459"/>
    <n v="1499"/>
    <n v="40"/>
    <n v="2.6684456304202801E-2"/>
    <n v="0.03"/>
    <m/>
    <s v=""/>
    <m/>
    <s v=""/>
    <x v="2"/>
    <x v="2"/>
  </r>
  <r>
    <x v="53"/>
    <n v="799"/>
    <n v="1343"/>
    <n v="544"/>
    <n v="0.4050632911392405"/>
    <n v="0.41"/>
    <m/>
    <s v=""/>
    <m/>
    <s v=""/>
    <x v="2"/>
    <x v="1"/>
  </r>
  <r>
    <x v="54"/>
    <n v="499"/>
    <n v="900"/>
    <n v="401"/>
    <n v="0.44555555555555554"/>
    <n v="0.45"/>
    <m/>
    <s v=""/>
    <m/>
    <s v=""/>
    <x v="2"/>
    <x v="1"/>
  </r>
  <r>
    <x v="55"/>
    <n v="699"/>
    <n v="1343"/>
    <n v="644"/>
    <n v="0.47952345495160087"/>
    <n v="0.48"/>
    <m/>
    <s v=""/>
    <m/>
    <s v=""/>
    <x v="2"/>
    <x v="1"/>
  </r>
  <r>
    <x v="56"/>
    <n v="799"/>
    <n v="1567"/>
    <n v="768"/>
    <n v="0.49010848755583919"/>
    <n v="0.49"/>
    <m/>
    <s v=""/>
    <m/>
    <s v=""/>
    <x v="2"/>
    <x v="1"/>
  </r>
  <r>
    <x v="57"/>
    <n v="2799"/>
    <n v="3810"/>
    <n v="1011"/>
    <n v="0.26535433070866143"/>
    <n v="0.27"/>
    <m/>
    <s v=""/>
    <m/>
    <s v=""/>
    <x v="2"/>
    <x v="0"/>
  </r>
  <r>
    <x v="54"/>
    <n v="399"/>
    <n v="896"/>
    <n v="497"/>
    <n v="0.5546875"/>
    <n v="0.55000000000000004"/>
    <m/>
    <s v=""/>
    <m/>
    <s v=""/>
    <x v="2"/>
    <x v="1"/>
  </r>
  <r>
    <x v="58"/>
    <n v="2170"/>
    <n v="2500"/>
    <n v="330"/>
    <n v="0.13200000000000001"/>
    <n v="0.13"/>
    <n v="-6"/>
    <n v="6"/>
    <s v="2.5 out of 5"/>
    <n v="2.5"/>
    <x v="3"/>
    <x v="2"/>
  </r>
  <r>
    <x v="59"/>
    <n v="458"/>
    <n v="986"/>
    <n v="528"/>
    <n v="0.53549695740365111"/>
    <n v="0.54"/>
    <n v="-10"/>
    <n v="10"/>
    <s v="3 out of 5"/>
    <n v="3"/>
    <x v="1"/>
    <x v="1"/>
  </r>
  <r>
    <x v="60"/>
    <n v="2115"/>
    <n v="4700"/>
    <n v="2585"/>
    <n v="0.55000000000000004"/>
    <n v="0.55000000000000004"/>
    <n v="-13"/>
    <n v="13"/>
    <s v="2.1 out of 5"/>
    <n v="2.1"/>
    <x v="3"/>
    <x v="1"/>
  </r>
  <r>
    <x v="61"/>
    <n v="445"/>
    <n v="873"/>
    <n v="428"/>
    <n v="0.49026345933562426"/>
    <n v="0.49"/>
    <n v="-69"/>
    <n v="69"/>
    <s v="2.8 out of 5"/>
    <n v="2.8"/>
    <x v="3"/>
    <x v="1"/>
  </r>
  <r>
    <x v="62"/>
    <n v="325"/>
    <n v="680"/>
    <n v="355"/>
    <n v="0.5220588235294118"/>
    <n v="0.52"/>
    <n v="-15"/>
    <n v="15"/>
    <s v="2.7 out of 5"/>
    <n v="2.7"/>
    <x v="3"/>
    <x v="1"/>
  </r>
  <r>
    <x v="63"/>
    <n v="1220"/>
    <n v="1555"/>
    <n v="335"/>
    <n v="0.21543408360128619"/>
    <n v="0.22"/>
    <n v="-16"/>
    <n v="16"/>
    <s v="2.9 out of 5"/>
    <n v="2.9"/>
    <x v="3"/>
    <x v="0"/>
  </r>
  <r>
    <x v="64"/>
    <n v="990"/>
    <n v="1814"/>
    <n v="824"/>
    <n v="0.45424476295479604"/>
    <n v="0.45"/>
    <n v="-6"/>
    <n v="6"/>
    <s v="2.2 out of 5"/>
    <n v="2.2000000000000002"/>
    <x v="3"/>
    <x v="1"/>
  </r>
  <r>
    <x v="65"/>
    <n v="1000"/>
    <n v="2000"/>
    <n v="1000"/>
    <n v="0.5"/>
    <n v="0.5"/>
    <n v="-7"/>
    <n v="7"/>
    <s v="2.3 out of 5"/>
    <n v="2.2999999999999998"/>
    <x v="3"/>
    <x v="1"/>
  </r>
  <r>
    <x v="66"/>
    <n v="3750"/>
    <n v="6143"/>
    <n v="2393"/>
    <n v="0.38954908025394758"/>
    <n v="0.39"/>
    <n v="-5"/>
    <n v="5"/>
    <s v="3 out of 5"/>
    <n v="3"/>
    <x v="1"/>
    <x v="0"/>
  </r>
  <r>
    <x v="67"/>
    <n v="382"/>
    <n v="700"/>
    <n v="318"/>
    <n v="0.45428571428571429"/>
    <n v="0.45"/>
    <n v="-17"/>
    <n v="17"/>
    <s v="2.6 out of 5"/>
    <n v="2.6"/>
    <x v="3"/>
    <x v="1"/>
  </r>
  <r>
    <x v="68"/>
    <n v="2300"/>
    <n v="3240"/>
    <n v="940"/>
    <n v="0.29012345679012347"/>
    <n v="0.28999999999999998"/>
    <n v="-5"/>
    <n v="5"/>
    <s v="3 out of 5"/>
    <n v="3"/>
    <x v="1"/>
    <x v="0"/>
  </r>
  <r>
    <x v="69"/>
    <n v="345"/>
    <n v="602"/>
    <n v="257"/>
    <n v="0.42691029900332228"/>
    <n v="0.43"/>
    <n v="-6"/>
    <n v="6"/>
    <s v="2.3 out of 5"/>
    <n v="2.2999999999999998"/>
    <x v="3"/>
    <x v="1"/>
  </r>
  <r>
    <x v="70"/>
    <n v="509"/>
    <n v="899"/>
    <n v="390"/>
    <n v="0.43381535038932145"/>
    <n v="0.43"/>
    <n v="-5"/>
    <n v="5"/>
    <s v="3 out of 5"/>
    <n v="3"/>
    <x v="1"/>
    <x v="1"/>
  </r>
  <r>
    <x v="71"/>
    <n v="968"/>
    <n v="1814"/>
    <n v="846"/>
    <n v="0.46637265711135611"/>
    <n v="0.47"/>
    <n v="-6"/>
    <n v="6"/>
    <s v="2.2 out of 5"/>
    <n v="2.2000000000000002"/>
    <x v="3"/>
    <x v="1"/>
  </r>
  <r>
    <x v="72"/>
    <n v="1570"/>
    <n v="2988"/>
    <n v="1418"/>
    <n v="0.4745649263721553"/>
    <n v="0.47"/>
    <n v="-7"/>
    <n v="7"/>
    <s v="2.1 out of 5"/>
    <n v="2.1"/>
    <x v="3"/>
    <x v="1"/>
  </r>
  <r>
    <x v="73"/>
    <n v="790"/>
    <n v="1485"/>
    <n v="695"/>
    <n v="0.46801346801346799"/>
    <n v="0.47"/>
    <m/>
    <s v=""/>
    <m/>
    <s v=""/>
    <x v="2"/>
    <x v="1"/>
  </r>
  <r>
    <x v="74"/>
    <n v="690"/>
    <n v="1200"/>
    <n v="510"/>
    <n v="0.42499999999999999"/>
    <n v="0.43"/>
    <m/>
    <s v=""/>
    <m/>
    <s v=""/>
    <x v="2"/>
    <x v="1"/>
  </r>
  <r>
    <x v="75"/>
    <n v="1732"/>
    <n v="1799"/>
    <n v="67"/>
    <n v="3.7242912729294052E-2"/>
    <n v="0.04"/>
    <m/>
    <s v=""/>
    <m/>
    <s v=""/>
    <x v="2"/>
    <x v="2"/>
  </r>
  <r>
    <x v="76"/>
    <n v="230"/>
    <n v="450"/>
    <n v="220"/>
    <n v="0.48888888888888887"/>
    <n v="0.49"/>
    <m/>
    <s v=""/>
    <m/>
    <s v=""/>
    <x v="2"/>
    <x v="1"/>
  </r>
  <r>
    <x v="77"/>
    <n v="1189"/>
    <n v="2199"/>
    <n v="1010"/>
    <n v="0.45929968167348795"/>
    <n v="0.46"/>
    <n v="-1"/>
    <n v="1"/>
    <s v="3 out of 5"/>
    <n v="3"/>
    <x v="1"/>
    <x v="1"/>
  </r>
  <r>
    <x v="78"/>
    <n v="979"/>
    <n v="1920"/>
    <n v="941"/>
    <n v="0.49010416666666667"/>
    <n v="0.49"/>
    <n v="-1"/>
    <n v="1"/>
    <s v="5 out of 5"/>
    <n v="5"/>
    <x v="0"/>
    <x v="1"/>
  </r>
  <r>
    <x v="79"/>
    <n v="1460"/>
    <n v="2290"/>
    <n v="830"/>
    <n v="0.36244541484716158"/>
    <n v="0.36"/>
    <m/>
    <s v=""/>
    <m/>
    <s v=""/>
    <x v="2"/>
    <x v="0"/>
  </r>
  <r>
    <x v="80"/>
    <n v="1666"/>
    <n v="1699"/>
    <n v="33"/>
    <n v="1.9423190111830489E-2"/>
    <n v="0.02"/>
    <m/>
    <s v=""/>
    <m/>
    <s v=""/>
    <x v="2"/>
    <x v="2"/>
  </r>
  <r>
    <x v="81"/>
    <n v="330"/>
    <n v="647"/>
    <n v="317"/>
    <n v="0.48995363214837712"/>
    <n v="0.49"/>
    <n v="-1"/>
    <n v="1"/>
    <s v="4 out of 5"/>
    <n v="4"/>
    <x v="1"/>
    <x v="1"/>
  </r>
  <r>
    <x v="48"/>
    <n v="176"/>
    <n v="345"/>
    <n v="169"/>
    <n v="0.48985507246376814"/>
    <n v="0.49"/>
    <m/>
    <s v=""/>
    <m/>
    <s v=""/>
    <x v="2"/>
    <x v="1"/>
  </r>
  <r>
    <x v="82"/>
    <n v="1466"/>
    <n v="1699"/>
    <n v="233"/>
    <n v="0.13713949381989404"/>
    <n v="0.14000000000000001"/>
    <m/>
    <s v=""/>
    <m/>
    <s v=""/>
    <x v="2"/>
    <x v="2"/>
  </r>
  <r>
    <x v="83"/>
    <n v="274"/>
    <n v="537"/>
    <n v="263"/>
    <n v="0.48975791433891991"/>
    <n v="0.49"/>
    <m/>
    <s v=""/>
    <m/>
    <s v=""/>
    <x v="2"/>
    <x v="1"/>
  </r>
  <r>
    <x v="84"/>
    <n v="799"/>
    <n v="900"/>
    <n v="101"/>
    <n v="0.11222222222222222"/>
    <n v="0.11"/>
    <m/>
    <s v=""/>
    <m/>
    <s v=""/>
    <x v="2"/>
    <x v="2"/>
  </r>
  <r>
    <x v="56"/>
    <n v="657"/>
    <n v="1288"/>
    <n v="631"/>
    <n v="0.48990683229813664"/>
    <n v="0.49"/>
    <m/>
    <s v=""/>
    <m/>
    <s v=""/>
    <x v="2"/>
    <x v="1"/>
  </r>
  <r>
    <x v="85"/>
    <n v="1468"/>
    <n v="1699"/>
    <n v="231"/>
    <n v="0.13596233078281342"/>
    <n v="0.14000000000000001"/>
    <m/>
    <s v=""/>
    <m/>
    <s v=""/>
    <x v="2"/>
    <x v="2"/>
  </r>
  <r>
    <x v="86"/>
    <n v="630"/>
    <n v="1100"/>
    <n v="470"/>
    <n v="0.42727272727272725"/>
    <n v="0.43"/>
    <m/>
    <s v=""/>
    <m/>
    <s v=""/>
    <x v="2"/>
    <x v="1"/>
  </r>
  <r>
    <x v="87"/>
    <n v="850"/>
    <n v="1700"/>
    <n v="850"/>
    <n v="0.5"/>
    <n v="0.5"/>
    <m/>
    <s v=""/>
    <m/>
    <s v=""/>
    <x v="2"/>
    <x v="1"/>
  </r>
  <r>
    <x v="88"/>
    <n v="1300"/>
    <n v="2500"/>
    <n v="1200"/>
    <n v="0.48"/>
    <n v="0.48"/>
    <m/>
    <s v=""/>
    <m/>
    <s v=""/>
    <x v="2"/>
    <x v="1"/>
  </r>
  <r>
    <x v="89"/>
    <n v="105"/>
    <n v="200"/>
    <n v="95"/>
    <n v="0.47499999999999998"/>
    <n v="0.48"/>
    <m/>
    <s v=""/>
    <m/>
    <s v=""/>
    <x v="2"/>
    <x v="1"/>
  </r>
  <r>
    <x v="90"/>
    <n v="899"/>
    <n v="1699"/>
    <n v="800"/>
    <n v="0.47086521483225424"/>
    <n v="0.47"/>
    <m/>
    <s v=""/>
    <m/>
    <s v=""/>
    <x v="2"/>
    <x v="1"/>
  </r>
  <r>
    <x v="91"/>
    <n v="1200"/>
    <n v="2400"/>
    <n v="1200"/>
    <n v="0.5"/>
    <n v="0.5"/>
    <m/>
    <s v=""/>
    <m/>
    <s v=""/>
    <x v="2"/>
    <x v="1"/>
  </r>
  <r>
    <x v="92"/>
    <n v="1526"/>
    <n v="1660"/>
    <n v="134"/>
    <n v="8.0722891566265054E-2"/>
    <n v="0.08"/>
    <m/>
    <s v=""/>
    <m/>
    <s v=""/>
    <x v="2"/>
    <x v="2"/>
  </r>
  <r>
    <x v="93"/>
    <n v="1462"/>
    <n v="1499"/>
    <n v="37"/>
    <n v="2.4683122081387593E-2"/>
    <n v="0.02"/>
    <m/>
    <s v=""/>
    <m/>
    <s v=""/>
    <x v="2"/>
    <x v="2"/>
  </r>
  <r>
    <x v="94"/>
    <n v="248"/>
    <n v="486"/>
    <n v="238"/>
    <n v="0.48971193415637859"/>
    <n v="0.49"/>
    <m/>
    <s v=""/>
    <m/>
    <s v=""/>
    <x v="2"/>
    <x v="1"/>
  </r>
  <r>
    <x v="95"/>
    <n v="3546"/>
    <n v="3699"/>
    <n v="153"/>
    <n v="4.1362530413625302E-2"/>
    <n v="0.04"/>
    <m/>
    <s v=""/>
    <m/>
    <s v=""/>
    <x v="2"/>
    <x v="2"/>
  </r>
  <r>
    <x v="96"/>
    <n v="525"/>
    <n v="1029"/>
    <n v="504"/>
    <n v="0.48979591836734693"/>
    <n v="0.49"/>
    <m/>
    <s v=""/>
    <m/>
    <s v=""/>
    <x v="2"/>
    <x v="1"/>
  </r>
  <r>
    <x v="97"/>
    <n v="1080"/>
    <n v="1874"/>
    <n v="794"/>
    <n v="0.42369263607257202"/>
    <n v="0.42"/>
    <m/>
    <s v=""/>
    <m/>
    <s v=""/>
    <x v="2"/>
    <x v="1"/>
  </r>
  <r>
    <x v="98"/>
    <n v="3640"/>
    <n v="4588"/>
    <n v="948"/>
    <n v="0.20662598081952921"/>
    <n v="0.21"/>
    <n v="-1"/>
    <n v="1"/>
    <s v="5 out of 5"/>
    <n v="5"/>
    <x v="0"/>
    <x v="0"/>
  </r>
  <r>
    <x v="99"/>
    <n v="1420"/>
    <n v="2420"/>
    <n v="1000"/>
    <n v="0.41322314049586778"/>
    <n v="0.41"/>
    <m/>
    <s v=""/>
    <m/>
    <s v=""/>
    <x v="2"/>
    <x v="1"/>
  </r>
  <r>
    <x v="100"/>
    <n v="1875"/>
    <n v="1899"/>
    <n v="24"/>
    <n v="1.2638230647709321E-2"/>
    <n v="0.01"/>
    <m/>
    <s v=""/>
    <m/>
    <s v=""/>
    <x v="2"/>
    <x v="2"/>
  </r>
  <r>
    <x v="101"/>
    <n v="198"/>
    <n v="260"/>
    <n v="62"/>
    <n v="0.23846153846153847"/>
    <n v="0.24"/>
    <m/>
    <s v=""/>
    <m/>
    <s v=""/>
    <x v="2"/>
    <x v="0"/>
  </r>
  <r>
    <x v="102"/>
    <n v="1150"/>
    <n v="1737"/>
    <n v="587"/>
    <n v="0.3379389752446747"/>
    <n v="0.34"/>
    <m/>
    <s v=""/>
    <m/>
    <s v=""/>
    <x v="2"/>
    <x v="0"/>
  </r>
  <r>
    <x v="103"/>
    <n v="1190"/>
    <n v="1810"/>
    <n v="620"/>
    <n v="0.34254143646408841"/>
    <n v="0.34"/>
    <m/>
    <s v=""/>
    <m/>
    <s v=""/>
    <x v="2"/>
    <x v="0"/>
  </r>
  <r>
    <x v="104"/>
    <n v="1658"/>
    <n v="1699"/>
    <n v="41"/>
    <n v="2.4131842260153032E-2"/>
    <n v="0.02"/>
    <m/>
    <s v=""/>
    <m/>
    <s v=""/>
    <x v="2"/>
    <x v="2"/>
  </r>
  <r>
    <x v="105"/>
    <n v="1768"/>
    <n v="1799"/>
    <n v="31"/>
    <n v="1.7231795441912175E-2"/>
    <n v="0.02"/>
    <m/>
    <s v=""/>
    <m/>
    <s v=""/>
    <x v="2"/>
    <x v="2"/>
  </r>
  <r>
    <x v="106"/>
    <n v="199"/>
    <n v="553"/>
    <n v="354"/>
    <n v="0.64014466546112114"/>
    <n v="0.64"/>
    <m/>
    <s v=""/>
    <m/>
    <s v=""/>
    <x v="2"/>
    <x v="1"/>
  </r>
  <r>
    <x v="107"/>
    <n v="450"/>
    <n v="900"/>
    <n v="450"/>
    <n v="0.5"/>
    <n v="0.5"/>
    <n v="-1"/>
    <n v="1"/>
    <s v="2 out of 5"/>
    <n v="2"/>
    <x v="3"/>
    <x v="1"/>
  </r>
  <r>
    <x v="108"/>
    <n v="169"/>
    <n v="320"/>
    <n v="151"/>
    <n v="0.47187499999999999"/>
    <n v="0.47"/>
    <m/>
    <s v=""/>
    <m/>
    <s v=""/>
    <x v="2"/>
    <x v="1"/>
  </r>
</pivotCacheRecords>
</file>

<file path=xl/pivotCache/pivotCacheRecords2.xml><?xml version="1.0" encoding="utf-8"?>
<pivotCacheRecords xmlns="http://schemas.openxmlformats.org/spreadsheetml/2006/main" xmlns:r="http://schemas.openxmlformats.org/officeDocument/2006/relationships" count="122">
  <r>
    <s v="115  Piece Set Of Multifunctional Precision Screwdrivers"/>
    <x v="0"/>
    <n v="1525"/>
    <n v="575"/>
    <n v="0.37704918032786883"/>
    <n v="0.38"/>
    <n v="-2"/>
    <n v="2"/>
    <s v="4.5 out of 5"/>
    <n v="4.5"/>
    <x v="0"/>
    <x v="0"/>
  </r>
  <r>
    <s v="Metal Decorative Hooks Key Hangers Entryway Wall Hooks Towel Hooks - Home"/>
    <x v="1"/>
    <n v="999"/>
    <n v="472"/>
    <n v="0.47247247247247248"/>
    <n v="0.47"/>
    <n v="-14"/>
    <n v="14"/>
    <s v="4.1 out of 5"/>
    <n v="4.0999999999999996"/>
    <x v="0"/>
    <x v="1"/>
  </r>
  <r>
    <s v="Portable Mini Cordless Car Vacuum Cleaner - Blue"/>
    <x v="2"/>
    <n v="2923"/>
    <n v="724"/>
    <n v="0.24769072870338693"/>
    <n v="0.25"/>
    <n v="-24"/>
    <n v="24"/>
    <s v="4.6 out of 5"/>
    <n v="4.5999999999999996"/>
    <x v="0"/>
    <x v="0"/>
  </r>
  <r>
    <s v="Weighing Scale Digital Bathroom Body Fat Scale USB-Black"/>
    <x v="3"/>
    <n v="2499"/>
    <n v="919"/>
    <n v="0.36774709883953582"/>
    <n v="0.37"/>
    <n v="-7"/>
    <n v="7"/>
    <s v="4.7 out of 5"/>
    <n v="4.7"/>
    <x v="0"/>
    <x v="0"/>
  </r>
  <r>
    <s v="Portable Home Small Air Humidifier 3-Speed Fan - Green"/>
    <x v="4"/>
    <n v="2356"/>
    <n v="616"/>
    <n v="0.26146010186757218"/>
    <n v="0.26"/>
    <n v="-5"/>
    <n v="5"/>
    <s v="4.8 out of 5"/>
    <n v="4.8"/>
    <x v="0"/>
    <x v="0"/>
  </r>
  <r>
    <s v="220V 60W Electric Soldering Iron Kits With Tools, Tips, And Multimeter"/>
    <x v="5"/>
    <n v="3290"/>
    <n v="291"/>
    <n v="8.8449848024316116E-2"/>
    <n v="0.09"/>
    <n v="-15"/>
    <n v="15"/>
    <s v="4 out of 5"/>
    <n v="4"/>
    <x v="1"/>
    <x v="2"/>
  </r>
  <r>
    <s v="137 Pieces Cake Decorating Tool Set Baking Supplies"/>
    <x v="6"/>
    <n v="3032"/>
    <n v="713"/>
    <n v="0.23515831134564644"/>
    <n v="0.24"/>
    <n v="-55"/>
    <n v="55"/>
    <s v="4.6 out of 5"/>
    <n v="4.5999999999999996"/>
    <x v="0"/>
    <x v="0"/>
  </r>
  <r>
    <s v="Desk Foldable Fan Adjustable Fan Strong Wind 3 Gear Usb"/>
    <x v="7"/>
    <n v="1580"/>
    <n v="592"/>
    <n v="0.37468354430379747"/>
    <n v="0.37"/>
    <n v="-2"/>
    <n v="2"/>
    <s v="4 out of 5"/>
    <n v="4"/>
    <x v="1"/>
    <x v="0"/>
  </r>
  <r>
    <s v="LASA FOLDING TABLE SERVING STAND"/>
    <x v="8"/>
    <n v="2800"/>
    <n v="1526"/>
    <n v="0.54500000000000004"/>
    <n v="0.55000000000000004"/>
    <n v="-5"/>
    <n v="5"/>
    <s v="4.8 out of 5"/>
    <n v="4.8"/>
    <x v="0"/>
    <x v="1"/>
  </r>
  <r>
    <s v="13 In 1 Home Repair Tools Box Kit Set"/>
    <x v="9"/>
    <n v="2929"/>
    <n v="1329"/>
    <n v="0.45373847729600547"/>
    <n v="0.45"/>
    <n v="-5"/>
    <n v="5"/>
    <s v="3.8 out of 5"/>
    <n v="3.8"/>
    <x v="1"/>
    <x v="1"/>
  </r>
  <r>
    <s v="Genebre 115 In 1 Screwdriver Repairing Tool Set For IPhone Cellphone Hand Tool"/>
    <x v="10"/>
    <n v="999"/>
    <n v="200"/>
    <n v="0.20020020020020021"/>
    <n v="0.2"/>
    <n v="-12"/>
    <n v="12"/>
    <s v="4.1 out of 5"/>
    <n v="4.0999999999999996"/>
    <x v="0"/>
    <x v="0"/>
  </r>
  <r>
    <s v="100 Pcs Crochet Hook Tool Set Knitting Hook Set With Box"/>
    <x v="11"/>
    <n v="1500"/>
    <n v="510"/>
    <n v="0.34"/>
    <n v="0.34"/>
    <n v="-39"/>
    <n v="39"/>
    <s v="4.7 out of 5"/>
    <n v="4.7"/>
    <x v="0"/>
    <x v="0"/>
  </r>
  <r>
    <s v="40cm Gold DIY Acrylic Wall Sticker Clock"/>
    <x v="12"/>
    <n v="1035"/>
    <n v="483"/>
    <n v="0.46666666666666667"/>
    <n v="0.47"/>
    <n v="-12"/>
    <n v="12"/>
    <s v="4.8 out of 5"/>
    <n v="4.8"/>
    <x v="0"/>
    <x v="1"/>
  </r>
  <r>
    <s v="LASA Digital Thermometer And Hydrometer"/>
    <x v="13"/>
    <n v="860"/>
    <n v="359"/>
    <n v="0.41744186046511628"/>
    <n v="0.42"/>
    <n v="-6"/>
    <n v="6"/>
    <s v="4.5 out of 5"/>
    <n v="4.5"/>
    <x v="0"/>
    <x v="1"/>
  </r>
  <r>
    <s v="Multifunction Laser Level With Adjustment Tripod"/>
    <x v="14"/>
    <n v="2499"/>
    <n v="819"/>
    <n v="0.32773109243697479"/>
    <n v="0.33"/>
    <n v="-9"/>
    <n v="9"/>
    <s v="4.2 out of 5"/>
    <n v="4.2"/>
    <x v="0"/>
    <x v="0"/>
  </r>
  <r>
    <s v="Anti-Skid Absorbent Insulation Coaster  For Home Office"/>
    <x v="15"/>
    <n v="684"/>
    <n v="352"/>
    <n v="0.51461988304093564"/>
    <n v="0.51"/>
    <n v="-2"/>
    <n v="2"/>
    <s v="5 out of 5"/>
    <n v="5"/>
    <x v="0"/>
    <x v="1"/>
  </r>
  <r>
    <s v="Peacock  Throw Pillow Cushion Case For Home Car"/>
    <x v="16"/>
    <n v="360"/>
    <n v="165"/>
    <n v="0.45833333333333331"/>
    <n v="0.46"/>
    <n v="-2"/>
    <n v="2"/>
    <s v="5 out of 5"/>
    <n v="5"/>
    <x v="0"/>
    <x v="1"/>
  </r>
  <r>
    <s v="LASA Aluminum Folding Truck Hand Cart - 68kg Max"/>
    <x v="17"/>
    <n v="3971"/>
    <n v="1946"/>
    <n v="0.49005288340468395"/>
    <n v="0.49"/>
    <n v="-3"/>
    <n v="3"/>
    <s v="5 out of 5"/>
    <n v="5"/>
    <x v="0"/>
    <x v="1"/>
  </r>
  <r>
    <s v="LED Wall Digital Alarm Clock Study Home 12 / 24H Clock Calendar"/>
    <x v="5"/>
    <n v="3699"/>
    <n v="700"/>
    <n v="0.18924033522573669"/>
    <n v="0.19"/>
    <n v="-5"/>
    <n v="5"/>
    <s v="4.6 out of 5"/>
    <n v="4.5999999999999996"/>
    <x v="0"/>
    <x v="2"/>
  </r>
  <r>
    <s v="3D Waterproof EVA Plastic Shower Curtain 1.8*2Mtrs"/>
    <x v="18"/>
    <n v="1966"/>
    <n v="968"/>
    <n v="0.49237029501525942"/>
    <n v="0.49"/>
    <n v="-44"/>
    <n v="44"/>
    <s v="4.6 out of 5"/>
    <n v="4.5999999999999996"/>
    <x v="0"/>
    <x v="1"/>
  </r>
  <r>
    <s v="3PCS Single Head Knitting Crochet Sweater Needle Set"/>
    <x v="19"/>
    <n v="80"/>
    <n v="42"/>
    <n v="0.52500000000000002"/>
    <n v="0.53"/>
    <n v="-13"/>
    <n v="13"/>
    <s v="3.3 out of 5"/>
    <n v="3.3"/>
    <x v="1"/>
    <x v="1"/>
  </r>
  <r>
    <s v="4pcs Bathroom/Kitchen Towel Rack,Roll Paper Holder,Towel Bars,Hook"/>
    <x v="20"/>
    <n v="3220"/>
    <n v="1360"/>
    <n v="0.42236024844720499"/>
    <n v="0.42"/>
    <m/>
    <s v=""/>
    <m/>
    <s v=""/>
    <x v="2"/>
    <x v="1"/>
  </r>
  <r>
    <s v="LED Romantic Spaceship Starry Sky Projector,Children's Bedroom Night Light-Blue"/>
    <x v="21"/>
    <n v="1350"/>
    <n v="470"/>
    <n v="0.34814814814814815"/>
    <n v="0.35"/>
    <n v="-6"/>
    <n v="6"/>
    <s v="4 out of 5"/>
    <n v="4"/>
    <x v="1"/>
    <x v="0"/>
  </r>
  <r>
    <s v="Foldable Overbed Table/Desk"/>
    <x v="22"/>
    <n v="2150"/>
    <n v="500"/>
    <n v="0.23255813953488372"/>
    <n v="0.23"/>
    <n v="-14"/>
    <n v="14"/>
    <s v="4.4 out of 5"/>
    <n v="4.4000000000000004"/>
    <x v="0"/>
    <x v="0"/>
  </r>
  <r>
    <s v="LASA 3 Tier Bamboo Shoe Bench Storage Shelf"/>
    <x v="23"/>
    <n v="4500"/>
    <n v="2452"/>
    <n v="0.54488888888888887"/>
    <n v="0.54"/>
    <n v="-7"/>
    <n v="7"/>
    <s v="4.3 out of 5"/>
    <n v="4.3"/>
    <x v="0"/>
    <x v="1"/>
  </r>
  <r>
    <s v="Electronic Digital Display Vernier Caliper"/>
    <x v="24"/>
    <n v="647"/>
    <n v="227"/>
    <n v="0.3508500772797527"/>
    <n v="0.35"/>
    <n v="-49"/>
    <n v="49"/>
    <s v="4.6 out of 5"/>
    <n v="4.5999999999999996"/>
    <x v="0"/>
    <x v="0"/>
  </r>
  <r>
    <s v="Portable Wardrobe Nonwoven With 3 Hanging Rods And 6 Storage Shelves"/>
    <x v="25"/>
    <n v="3520"/>
    <n v="640"/>
    <n v="0.18181818181818182"/>
    <n v="0.18"/>
    <n v="-12"/>
    <n v="12"/>
    <s v="3.8 out of 5"/>
    <n v="3.8"/>
    <x v="1"/>
    <x v="2"/>
  </r>
  <r>
    <s v="12 Litre Black Insulated Lunch Box"/>
    <x v="26"/>
    <n v="1990"/>
    <n v="640"/>
    <n v="0.32160804020100503"/>
    <n v="0.32"/>
    <n v="-13"/>
    <n v="13"/>
    <s v="3.8 out of 5"/>
    <n v="3.8"/>
    <x v="1"/>
    <x v="0"/>
  </r>
  <r>
    <s v="52 Pieces Cake Decorating Tool Set Gift Kit Baking Supplies"/>
    <x v="27"/>
    <n v="2499"/>
    <n v="741"/>
    <n v="0.2965186074429772"/>
    <n v="0.3"/>
    <n v="-20"/>
    <n v="20"/>
    <s v="4.1 out of 5"/>
    <n v="4.0999999999999996"/>
    <x v="0"/>
    <x v="0"/>
  </r>
  <r>
    <s v="MultiFunctional Storage Rack Multi-layer Booelf"/>
    <x v="28"/>
    <n v="4080"/>
    <n v="1880"/>
    <n v="0.46078431372549017"/>
    <n v="0.46"/>
    <m/>
    <s v=""/>
    <m/>
    <s v=""/>
    <x v="2"/>
    <x v="1"/>
  </r>
  <r>
    <s v="Exfoliate And Exfoliate Face Towel - Black"/>
    <x v="29"/>
    <n v="382"/>
    <n v="197"/>
    <n v="0.51570680628272247"/>
    <n v="0.52"/>
    <n v="-9"/>
    <n v="9"/>
    <s v="4.3 out of 5"/>
    <n v="4.3"/>
    <x v="0"/>
    <x v="1"/>
  </r>
  <r>
    <s v="12 Litre Insulated Lunch Box Grey"/>
    <x v="30"/>
    <n v="1490"/>
    <n v="510"/>
    <n v="0.34228187919463088"/>
    <n v="0.34"/>
    <n v="-12"/>
    <n v="12"/>
    <s v="4.7 out of 5"/>
    <n v="4.7"/>
    <x v="0"/>
    <x v="0"/>
  </r>
  <r>
    <s v="LED Eye Protection  Desk Lamp , Study, Reading, USB Fan - Double Pen Holder"/>
    <x v="31"/>
    <n v="3490"/>
    <n v="1670"/>
    <n v="0.47851002865329512"/>
    <n v="0.48"/>
    <n v="-9"/>
    <n v="9"/>
    <s v="4.3 out of 5"/>
    <n v="4.3"/>
    <x v="0"/>
    <x v="1"/>
  </r>
  <r>
    <s v="53Pcs/Set Yarn Knitting Crochet Hooks With Bag - Fortune Cat"/>
    <x v="32"/>
    <n v="2650"/>
    <n v="710"/>
    <n v="0.26792452830188679"/>
    <n v="0.27"/>
    <n v="-20"/>
    <n v="20"/>
    <s v="4.7 out of 5"/>
    <n v="4.7"/>
    <x v="0"/>
    <x v="0"/>
  </r>
  <r>
    <s v="53 Pieces/Set Yarn Knitting Crochet Hooks With Bag - Pansies"/>
    <x v="33"/>
    <n v="2699"/>
    <n v="719"/>
    <n v="0.26639496109670247"/>
    <n v="0.27"/>
    <n v="-32"/>
    <n v="32"/>
    <s v="4.5 out of 5"/>
    <n v="4.5"/>
    <x v="0"/>
    <x v="0"/>
  </r>
  <r>
    <s v="DIY File Folder, Office Drawer File Holder, Pen Holder, Desktop Storage Rack"/>
    <x v="34"/>
    <n v="2690"/>
    <n v="1070"/>
    <n v="0.39776951672862454"/>
    <n v="0.4"/>
    <n v="-1"/>
    <n v="1"/>
    <s v="5 out of 5"/>
    <n v="5"/>
    <x v="0"/>
    <x v="0"/>
  </r>
  <r>
    <s v="Classic Black Cat Cotton Hemp Pillow Case For Home Car"/>
    <x v="35"/>
    <n v="360"/>
    <n v="189"/>
    <n v="0.52500000000000002"/>
    <n v="0.53"/>
    <n v="-2"/>
    <n v="2"/>
    <s v="5 out of 5"/>
    <n v="5"/>
    <x v="0"/>
    <x v="1"/>
  </r>
  <r>
    <s v="Punch-free Great Load Bearing Bathroom Storage Rack Wall Shelf-White"/>
    <x v="36"/>
    <n v="656"/>
    <n v="267"/>
    <n v="0.40701219512195119"/>
    <n v="0.41"/>
    <n v="-36"/>
    <n v="36"/>
    <s v="4.3 out of 5"/>
    <n v="4.3"/>
    <x v="0"/>
    <x v="1"/>
  </r>
  <r>
    <s v="1/2/3 Seater Elastic Sofa Cover,Living Room/Home Decor Chair Cover-Grey"/>
    <x v="37"/>
    <n v="2700"/>
    <n v="900"/>
    <n v="0.33333333333333331"/>
    <n v="0.38"/>
    <n v="-2"/>
    <n v="2"/>
    <s v="4.5 out of 5"/>
    <n v="4.5"/>
    <x v="0"/>
    <x v="0"/>
  </r>
  <r>
    <s v="LASA Stainless Steel Double Wall Mount Soap Dispenser - 500ml"/>
    <x v="38"/>
    <n v="4471"/>
    <n v="1721"/>
    <n v="0.38492507269067322"/>
    <n v="0.38"/>
    <m/>
    <s v=""/>
    <m/>
    <s v=""/>
    <x v="2"/>
    <x v="0"/>
  </r>
  <r>
    <s v="4M Float Switch Water Level Controller -Water Tank"/>
    <x v="39"/>
    <n v="931"/>
    <n v="456"/>
    <n v="0.48979591836734693"/>
    <n v="0.49"/>
    <m/>
    <s v=""/>
    <m/>
    <s v=""/>
    <x v="2"/>
    <x v="1"/>
  </r>
  <r>
    <s v="Modern Sofa Throw Pillow Cover-45x45cm-Blue&amp;Red"/>
    <x v="40"/>
    <n v="476"/>
    <n v="238"/>
    <n v="0.5"/>
    <n v="0.5"/>
    <m/>
    <s v=""/>
    <m/>
    <s v=""/>
    <x v="2"/>
    <x v="1"/>
  </r>
  <r>
    <s v="Balloon Insert, Birthday Party Balloon Set, PU Leather"/>
    <x v="41"/>
    <n v="1060"/>
    <n v="450"/>
    <n v="0.42452830188679247"/>
    <n v="0.42"/>
    <m/>
    <s v=""/>
    <m/>
    <s v=""/>
    <x v="2"/>
    <x v="1"/>
  </r>
  <r>
    <s v="Shower Cap Wide Elastic Band Cover Reusable Bashroom Cap"/>
    <x v="42"/>
    <n v="2169"/>
    <n v="37"/>
    <n v="1.705855232826187E-2"/>
    <n v="0.02"/>
    <m/>
    <s v=""/>
    <m/>
    <s v=""/>
    <x v="2"/>
    <x v="2"/>
  </r>
  <r>
    <s v="Christmas Elk Fence Yard Lawn Decorations Cute For Holidays"/>
    <x v="43"/>
    <n v="2000"/>
    <n v="1001"/>
    <n v="0.50049999999999994"/>
    <n v="0.5"/>
    <m/>
    <s v=""/>
    <m/>
    <s v=""/>
    <x v="2"/>
    <x v="1"/>
  </r>
  <r>
    <s v="60W Hot Melt Glue Sprayer - Efficient And Stable Glue Dispensing"/>
    <x v="44"/>
    <n v="1785"/>
    <n v="595"/>
    <n v="0.33333333333333331"/>
    <n v="0.33"/>
    <m/>
    <s v=""/>
    <m/>
    <s v=""/>
    <x v="2"/>
    <x v="0"/>
  </r>
  <r>
    <s v="Car Phone Charging Stand"/>
    <x v="45"/>
    <n v="1316"/>
    <n v="645"/>
    <n v="0.49012158054711247"/>
    <n v="0.49"/>
    <m/>
    <s v=""/>
    <m/>
    <s v=""/>
    <x v="2"/>
    <x v="1"/>
  </r>
  <r>
    <s v="2pcs Solar Street Light Flood Light Outdoor"/>
    <x v="46"/>
    <n v="1950"/>
    <n v="750"/>
    <n v="0.38461538461538464"/>
    <n v="0.38"/>
    <m/>
    <s v=""/>
    <m/>
    <s v=""/>
    <x v="2"/>
    <x v="0"/>
  </r>
  <r>
    <s v="Creative Owl Shape Keychain Black"/>
    <x v="47"/>
    <n v="504"/>
    <n v="305"/>
    <n v="0.60515873015873012"/>
    <n v="0.61"/>
    <m/>
    <s v=""/>
    <m/>
    <s v=""/>
    <x v="2"/>
    <x v="1"/>
  </r>
  <r>
    <s v="Brush &amp; Paintbrush Cleaning Tool Pink"/>
    <x v="48"/>
    <n v="600"/>
    <n v="301"/>
    <n v="0.50166666666666671"/>
    <n v="0.5"/>
    <m/>
    <s v=""/>
    <m/>
    <s v=""/>
    <x v="2"/>
    <x v="1"/>
  </r>
  <r>
    <s v="Pen Grips For Kids Pen Grip Posture Correction Tool For Kids"/>
    <x v="49"/>
    <n v="1699"/>
    <n v="39"/>
    <n v="2.2954679223072396E-2"/>
    <n v="0.02"/>
    <m/>
    <s v=""/>
    <m/>
    <s v=""/>
    <x v="2"/>
    <x v="2"/>
  </r>
  <r>
    <s v="Pilates Cloth Bag Waterproof Durable High Capacity Purple"/>
    <x v="48"/>
    <n v="384"/>
    <n v="85"/>
    <n v="0.22135416666666666"/>
    <n v="0.22"/>
    <m/>
    <s v=""/>
    <m/>
    <s v=""/>
    <x v="2"/>
    <x v="0"/>
  </r>
  <r>
    <s v="Multi-purpose Rice Drainage Basket And Fruit And Vegetable Drainage Sieve"/>
    <x v="50"/>
    <n v="1499"/>
    <n v="40"/>
    <n v="2.6684456304202801E-2"/>
    <n v="0.03"/>
    <m/>
    <s v=""/>
    <m/>
    <s v=""/>
    <x v="2"/>
    <x v="2"/>
  </r>
  <r>
    <s v="Cute Christmas Fence Garden Decorations For Holiday Home"/>
    <x v="10"/>
    <n v="1343"/>
    <n v="544"/>
    <n v="0.4050632911392405"/>
    <n v="0.41"/>
    <m/>
    <s v=""/>
    <m/>
    <s v=""/>
    <x v="2"/>
    <x v="1"/>
  </r>
  <r>
    <s v="Simple Metal Dog Art Sculpture Decoration For Home Office"/>
    <x v="51"/>
    <n v="900"/>
    <n v="401"/>
    <n v="0.44555555555555554"/>
    <n v="0.45"/>
    <m/>
    <s v=""/>
    <m/>
    <s v=""/>
    <x v="2"/>
    <x v="1"/>
  </r>
  <r>
    <s v="Christmas Fence Garden Decorations Outdoor For Holiday Home"/>
    <x v="52"/>
    <n v="1343"/>
    <n v="644"/>
    <n v="0.47952345495160087"/>
    <n v="0.48"/>
    <m/>
    <s v=""/>
    <m/>
    <s v=""/>
    <x v="2"/>
    <x v="1"/>
  </r>
  <r>
    <s v="Angle Measuring Tool Full Metal Multi Angle Measuring Tool"/>
    <x v="10"/>
    <n v="1567"/>
    <n v="768"/>
    <n v="0.49010848755583919"/>
    <n v="0.49"/>
    <m/>
    <s v=""/>
    <m/>
    <s v=""/>
    <x v="2"/>
    <x v="1"/>
  </r>
  <r>
    <s v="12V 19500rpm Handheld Electric Angle Grinder Tool - UK - Yellow/Black"/>
    <x v="53"/>
    <n v="3810"/>
    <n v="1011"/>
    <n v="0.26535433070866143"/>
    <n v="0.27"/>
    <m/>
    <s v=""/>
    <m/>
    <s v=""/>
    <x v="2"/>
    <x v="0"/>
  </r>
  <r>
    <s v="Simple Metal Dog Art Sculpture Decoration For Home Office"/>
    <x v="54"/>
    <n v="896"/>
    <n v="497"/>
    <n v="0.5546875"/>
    <n v="0.55000000000000004"/>
    <m/>
    <s v=""/>
    <m/>
    <s v=""/>
    <x v="2"/>
    <x v="1"/>
  </r>
  <r>
    <s v="5 Pieces/set Of Stainless Steel Induction Cooker Pots"/>
    <x v="55"/>
    <n v="2500"/>
    <n v="330"/>
    <n v="0.13200000000000001"/>
    <n v="0.13"/>
    <n v="-6"/>
    <n v="6"/>
    <s v="2.5 out of 5"/>
    <n v="2.5"/>
    <x v="3"/>
    <x v="2"/>
  </r>
  <r>
    <s v="Mythco 120COB Solar Wall Ligt With Motion Sensor And Remote Control 3 Modes"/>
    <x v="56"/>
    <n v="986"/>
    <n v="528"/>
    <n v="0.53549695740365111"/>
    <n v="0.54"/>
    <n v="-10"/>
    <n v="10"/>
    <s v="3 out of 5"/>
    <n v="3"/>
    <x v="1"/>
    <x v="1"/>
  </r>
  <r>
    <s v="5-PCS Stainless Steel Cooking Pot Set With Steamed Slices"/>
    <x v="57"/>
    <n v="4700"/>
    <n v="2585"/>
    <n v="0.55000000000000004"/>
    <n v="0.55000000000000004"/>
    <n v="-13"/>
    <n v="13"/>
    <s v="2.1 out of 5"/>
    <n v="2.1"/>
    <x v="3"/>
    <x v="1"/>
  </r>
  <r>
    <s v="120W Cordless Vacuum Cleaners Handheld Electric Vacuum Cleaner"/>
    <x v="58"/>
    <n v="873"/>
    <n v="428"/>
    <n v="0.49026345933562426"/>
    <n v="0.49"/>
    <n v="-69"/>
    <n v="69"/>
    <s v="2.8 out of 5"/>
    <n v="2.8"/>
    <x v="3"/>
    <x v="1"/>
  </r>
  <r>
    <s v="Intelligent  LED Body Sensor Wireless Lighting Night Light USB"/>
    <x v="59"/>
    <n v="680"/>
    <n v="355"/>
    <n v="0.5220588235294118"/>
    <n v="0.52"/>
    <n v="-15"/>
    <n v="15"/>
    <s v="2.7 out of 5"/>
    <n v="2.7"/>
    <x v="3"/>
    <x v="1"/>
  </r>
  <r>
    <s v="VIC Wireless Vacuum Cleaner Dual Use For Home And Car 120W High Power Powerful"/>
    <x v="60"/>
    <n v="1555"/>
    <n v="335"/>
    <n v="0.21543408360128619"/>
    <n v="0.22"/>
    <n v="-16"/>
    <n v="16"/>
    <s v="2.9 out of 5"/>
    <n v="2.9"/>
    <x v="3"/>
    <x v="0"/>
  </r>
  <r>
    <s v="Artificial Potted Flowers Room Decorative Flowers (2 Pieces)"/>
    <x v="11"/>
    <n v="1814"/>
    <n v="824"/>
    <n v="0.45424476295479604"/>
    <n v="0.45"/>
    <n v="-6"/>
    <n v="6"/>
    <s v="2.2 out of 5"/>
    <n v="2.2000000000000002"/>
    <x v="3"/>
    <x v="1"/>
  </r>
  <r>
    <s v="380ML USB Rechargeable Portable Small Blenders And Juicers"/>
    <x v="61"/>
    <n v="2000"/>
    <n v="1000"/>
    <n v="0.5"/>
    <n v="0.5"/>
    <n v="-7"/>
    <n v="7"/>
    <s v="2.3 out of 5"/>
    <n v="2.2999999999999998"/>
    <x v="3"/>
    <x v="1"/>
  </r>
  <r>
    <s v="32PCS Portable Cordless Drill Set With Cyclic Battery Drive -26 Variable Speed"/>
    <x v="62"/>
    <n v="6143"/>
    <n v="2393"/>
    <n v="0.38954908025394758"/>
    <n v="0.39"/>
    <n v="-5"/>
    <n v="5"/>
    <s v="3 out of 5"/>
    <n v="3"/>
    <x v="1"/>
    <x v="0"/>
  </r>
  <r>
    <s v="Agapeon Toothbrush Holder And Toothpaste Dispenser"/>
    <x v="63"/>
    <n v="700"/>
    <n v="318"/>
    <n v="0.45428571428571429"/>
    <n v="0.45"/>
    <n v="-17"/>
    <n v="17"/>
    <s v="2.6 out of 5"/>
    <n v="2.6"/>
    <x v="3"/>
    <x v="1"/>
  </r>
  <r>
    <s v="Large Lazy Inflatable Sofa Chairs PVC Lounger Seat Bag"/>
    <x v="64"/>
    <n v="3240"/>
    <n v="940"/>
    <n v="0.29012345679012347"/>
    <n v="0.28999999999999998"/>
    <n v="-5"/>
    <n v="5"/>
    <s v="3 out of 5"/>
    <n v="3"/>
    <x v="1"/>
    <x v="0"/>
  </r>
  <r>
    <s v="Watercolour Gold Foil Textured Print Pillow Cover"/>
    <x v="65"/>
    <n v="602"/>
    <n v="257"/>
    <n v="0.42691029900332228"/>
    <n v="0.43"/>
    <n v="-6"/>
    <n v="6"/>
    <s v="2.3 out of 5"/>
    <n v="2.2999999999999998"/>
    <x v="3"/>
    <x v="1"/>
  </r>
  <r>
    <s v="Wrought Iron Bathroom Shelf Wall Mounted Free Punch Toilet Rack"/>
    <x v="66"/>
    <n v="899"/>
    <n v="390"/>
    <n v="0.43381535038932145"/>
    <n v="0.43"/>
    <n v="-5"/>
    <n v="5"/>
    <s v="3 out of 5"/>
    <n v="3"/>
    <x v="1"/>
    <x v="1"/>
  </r>
  <r>
    <s v="7-piece Set Of Storage Bags, Travel Storage Bags, Shoe Bags"/>
    <x v="67"/>
    <n v="1814"/>
    <n v="846"/>
    <n v="0.46637265711135611"/>
    <n v="0.47"/>
    <n v="-6"/>
    <n v="6"/>
    <s v="2.2 out of 5"/>
    <n v="2.2000000000000002"/>
    <x v="3"/>
    <x v="1"/>
  </r>
  <r>
    <s v="Electric LED UV Mosquito Killer Lamp, Outdoor/Indoor Fly Killer Trap Light -USB"/>
    <x v="68"/>
    <n v="2988"/>
    <n v="1418"/>
    <n v="0.4745649263721553"/>
    <n v="0.47"/>
    <n v="-7"/>
    <n v="7"/>
    <s v="2.1 out of 5"/>
    <n v="2.1"/>
    <x v="3"/>
    <x v="1"/>
  </r>
  <r>
    <s v="2PCS/LOT Solar LED Outdoor Intelligent Light Controlled Wall Lamp"/>
    <x v="69"/>
    <n v="1485"/>
    <n v="695"/>
    <n v="0.46801346801346799"/>
    <n v="0.47"/>
    <m/>
    <s v=""/>
    <m/>
    <s v=""/>
    <x v="2"/>
    <x v="1"/>
  </r>
  <r>
    <s v="3PCS Rotary Scraper Thermomix For Kitchen"/>
    <x v="70"/>
    <n v="1200"/>
    <n v="510"/>
    <n v="0.42499999999999999"/>
    <n v="0.43"/>
    <m/>
    <s v=""/>
    <m/>
    <s v=""/>
    <x v="2"/>
    <x v="1"/>
  </r>
  <r>
    <s v="Cushion Silicone Butt Cushion Summer Ice Cushion Honeycomb Gel Cushion"/>
    <x v="71"/>
    <n v="1799"/>
    <n v="67"/>
    <n v="3.7242912729294052E-2"/>
    <n v="0.04"/>
    <m/>
    <s v=""/>
    <m/>
    <s v=""/>
    <x v="2"/>
    <x v="2"/>
  </r>
  <r>
    <s v="7PCS Silicone Thumb Knife Finger Protector Vegetable Harvesting Knife"/>
    <x v="72"/>
    <n v="450"/>
    <n v="220"/>
    <n v="0.48888888888888887"/>
    <n v="0.49"/>
    <m/>
    <s v=""/>
    <m/>
    <s v=""/>
    <x v="2"/>
    <x v="1"/>
  </r>
  <r>
    <s v="Memory Foam Neck Pillow Cover, With Pillow Core - 50*30cm"/>
    <x v="73"/>
    <n v="2199"/>
    <n v="1010"/>
    <n v="0.45929968167348795"/>
    <n v="0.46"/>
    <n v="-1"/>
    <n v="1"/>
    <s v="3 out of 5"/>
    <n v="3"/>
    <x v="1"/>
    <x v="1"/>
  </r>
  <r>
    <s v="Bedroom Simple Floor Hanging Clothes Rack Single Pole Hat Rack - White"/>
    <x v="74"/>
    <n v="1920"/>
    <n v="941"/>
    <n v="0.49010416666666667"/>
    <n v="0.49"/>
    <n v="-1"/>
    <n v="1"/>
    <s v="5 out of 5"/>
    <n v="5"/>
    <x v="0"/>
    <x v="1"/>
  </r>
  <r>
    <s v="5m Waterproof Spherical LED String Lights Outdoor Ball Chain Lights Party Lighting Decoration Adjustable"/>
    <x v="75"/>
    <n v="2290"/>
    <n v="830"/>
    <n v="0.36244541484716158"/>
    <n v="0.36"/>
    <m/>
    <s v=""/>
    <m/>
    <s v=""/>
    <x v="2"/>
    <x v="0"/>
  </r>
  <r>
    <s v="2 Pairs Cowhide Split Leather Work Gloves.32â„‰ Or Above Welding Gloves"/>
    <x v="76"/>
    <n v="1699"/>
    <n v="33"/>
    <n v="1.9423190111830489E-2"/>
    <n v="0.02"/>
    <m/>
    <s v=""/>
    <m/>
    <s v=""/>
    <x v="2"/>
    <x v="2"/>
  </r>
  <r>
    <s v="Household Pineapple Peeler Peeler"/>
    <x v="77"/>
    <n v="647"/>
    <n v="317"/>
    <n v="0.48995363214837712"/>
    <n v="0.49"/>
    <n v="-1"/>
    <n v="1"/>
    <s v="4 out of 5"/>
    <n v="4"/>
    <x v="1"/>
    <x v="1"/>
  </r>
  <r>
    <s v="Creative Owl Shape Keychain Black"/>
    <x v="78"/>
    <n v="345"/>
    <n v="169"/>
    <n v="0.48985507246376814"/>
    <n v="0.49"/>
    <m/>
    <s v=""/>
    <m/>
    <s v=""/>
    <x v="2"/>
    <x v="1"/>
  </r>
  <r>
    <s v="Office Chair Lumbar Back Support Spine Posture Correction Pillow Car Cushion"/>
    <x v="79"/>
    <n v="1699"/>
    <n v="233"/>
    <n v="0.13713949381989404"/>
    <n v="0.14000000000000001"/>
    <m/>
    <s v=""/>
    <m/>
    <s v=""/>
    <x v="2"/>
    <x v="2"/>
  </r>
  <r>
    <s v="Cartoon Car Decoration Cute Individuality For Car Home Desk"/>
    <x v="80"/>
    <n v="537"/>
    <n v="263"/>
    <n v="0.48975791433891991"/>
    <n v="0.49"/>
    <m/>
    <s v=""/>
    <m/>
    <s v=""/>
    <x v="2"/>
    <x v="1"/>
  </r>
  <r>
    <s v="Outdoor Portable Water Bottle With Medicine Box - 600ML - Black"/>
    <x v="10"/>
    <n v="900"/>
    <n v="101"/>
    <n v="0.11222222222222222"/>
    <n v="0.11"/>
    <m/>
    <s v=""/>
    <m/>
    <s v=""/>
    <x v="2"/>
    <x v="2"/>
  </r>
  <r>
    <s v="Angle Measuring Tool Full Metal Multi Angle Measuring Tool"/>
    <x v="81"/>
    <n v="1288"/>
    <n v="631"/>
    <n v="0.48990683229813664"/>
    <n v="0.49"/>
    <m/>
    <s v=""/>
    <m/>
    <s v=""/>
    <x v="2"/>
    <x v="1"/>
  </r>
  <r>
    <s v="Wall-Mounted Toothbrush Toothpaste Holder With Multiple Slots"/>
    <x v="82"/>
    <n v="1699"/>
    <n v="231"/>
    <n v="0.13596233078281342"/>
    <n v="0.14000000000000001"/>
    <m/>
    <s v=""/>
    <m/>
    <s v=""/>
    <x v="2"/>
    <x v="2"/>
  </r>
  <r>
    <s v="Multifunctional Hanging Storage Box Storage Bag (4 Layers)"/>
    <x v="83"/>
    <n v="1100"/>
    <n v="470"/>
    <n v="0.42727272727272725"/>
    <n v="0.43"/>
    <m/>
    <s v=""/>
    <m/>
    <s v=""/>
    <x v="2"/>
    <x v="1"/>
  </r>
  <r>
    <s v="Wall Clock With Hidden Safe Box"/>
    <x v="84"/>
    <n v="1700"/>
    <n v="850"/>
    <n v="0.5"/>
    <n v="0.5"/>
    <m/>
    <s v=""/>
    <m/>
    <s v=""/>
    <x v="2"/>
    <x v="1"/>
  </r>
  <r>
    <s v="Portable Wine Table With Folding Round Table"/>
    <x v="85"/>
    <n v="2500"/>
    <n v="1200"/>
    <n v="0.48"/>
    <n v="0.48"/>
    <m/>
    <s v=""/>
    <m/>
    <s v=""/>
    <x v="2"/>
    <x v="1"/>
  </r>
  <r>
    <s v="Sewing Machine Needle Threader Stitch Insertion Tool Automatic Quick Sewing"/>
    <x v="86"/>
    <n v="200"/>
    <n v="95"/>
    <n v="0.47499999999999998"/>
    <n v="0.48"/>
    <m/>
    <s v=""/>
    <m/>
    <s v=""/>
    <x v="2"/>
    <x v="1"/>
  </r>
  <r>
    <s v="6 Layers Steel Pipe Assembling Dustproof Storage Shoe Cabinet"/>
    <x v="87"/>
    <n v="1699"/>
    <n v="800"/>
    <n v="0.47086521483225424"/>
    <n v="0.47"/>
    <m/>
    <s v=""/>
    <m/>
    <s v=""/>
    <x v="2"/>
    <x v="1"/>
  </r>
  <r>
    <s v="2PCS Ice Silk Square Cushion Cover Pillowcases - 65x65cm"/>
    <x v="46"/>
    <n v="2400"/>
    <n v="1200"/>
    <n v="0.5"/>
    <n v="0.5"/>
    <m/>
    <s v=""/>
    <m/>
    <s v=""/>
    <x v="2"/>
    <x v="1"/>
  </r>
  <r>
    <s v="Wall Mount Automatic Toothpaste Dispenser Toothbrush Holder Toothpaste Squeezer"/>
    <x v="88"/>
    <n v="1660"/>
    <n v="134"/>
    <n v="8.0722891566265054E-2"/>
    <n v="0.08"/>
    <m/>
    <s v=""/>
    <m/>
    <s v=""/>
    <x v="2"/>
    <x v="2"/>
  </r>
  <r>
    <s v="Portable Soap Dispenser Kitchen Detergent Press Box Kitchen Tools"/>
    <x v="89"/>
    <n v="1499"/>
    <n v="37"/>
    <n v="2.4683122081387593E-2"/>
    <n v="0.02"/>
    <m/>
    <s v=""/>
    <m/>
    <s v=""/>
    <x v="2"/>
    <x v="2"/>
  </r>
  <r>
    <s v="4 Piece Coloured Stainless Steel Kitchenware Set"/>
    <x v="90"/>
    <n v="486"/>
    <n v="238"/>
    <n v="0.48971193415637859"/>
    <n v="0.49"/>
    <m/>
    <s v=""/>
    <m/>
    <s v=""/>
    <x v="2"/>
    <x v="1"/>
  </r>
  <r>
    <s v="Metal Wall Clock Silver Dial Crystal Jewelry Round Home Decoration Wall Clock"/>
    <x v="91"/>
    <n v="3699"/>
    <n v="153"/>
    <n v="4.1362530413625302E-2"/>
    <n v="0.04"/>
    <m/>
    <s v=""/>
    <m/>
    <s v=""/>
    <x v="2"/>
    <x v="2"/>
  </r>
  <r>
    <s v="Baby Early Education Shape And Color Cognitive Training Toys"/>
    <x v="92"/>
    <n v="1029"/>
    <n v="504"/>
    <n v="0.48979591836734693"/>
    <n v="0.49"/>
    <m/>
    <s v=""/>
    <m/>
    <s v=""/>
    <x v="2"/>
    <x v="1"/>
  </r>
  <r>
    <s v="8in1 Screwdriver With LED Light"/>
    <x v="93"/>
    <n v="1874"/>
    <n v="794"/>
    <n v="0.42369263607257202"/>
    <n v="0.42"/>
    <m/>
    <s v=""/>
    <m/>
    <s v=""/>
    <x v="2"/>
    <x v="1"/>
  </r>
  <r>
    <s v="Konka Healty Electric Kettle, 24-hour Heat Preservation,1.5L,800W, White"/>
    <x v="94"/>
    <n v="4588"/>
    <n v="948"/>
    <n v="0.20662598081952921"/>
    <n v="0.21"/>
    <n v="-1"/>
    <n v="1"/>
    <s v="5 out of 5"/>
    <n v="5"/>
    <x v="0"/>
    <x v="0"/>
  </r>
  <r>
    <s v="9pcs Gas Mask, For Painting, Dust, Formaldehyde Grinding, Polishing"/>
    <x v="95"/>
    <n v="2420"/>
    <n v="1000"/>
    <n v="0.41322314049586778"/>
    <n v="0.41"/>
    <m/>
    <s v=""/>
    <m/>
    <s v=""/>
    <x v="2"/>
    <x v="1"/>
  </r>
  <r>
    <s v="24 Grid Wall-mounted Sundries Organiser Fabric Closet Bag Storage Rack"/>
    <x v="96"/>
    <n v="1899"/>
    <n v="24"/>
    <n v="1.2638230647709321E-2"/>
    <n v="0.01"/>
    <m/>
    <s v=""/>
    <m/>
    <s v=""/>
    <x v="2"/>
    <x v="2"/>
  </r>
  <r>
    <s v="1PC Refrigerator Food Seal Pocket Fridge Bags"/>
    <x v="97"/>
    <n v="260"/>
    <n v="62"/>
    <n v="0.23846153846153847"/>
    <n v="0.24"/>
    <m/>
    <s v=""/>
    <m/>
    <s v=""/>
    <x v="2"/>
    <x v="0"/>
  </r>
  <r>
    <s v="LED Solar Street Light-fake Camera"/>
    <x v="98"/>
    <n v="1737"/>
    <n v="587"/>
    <n v="0.3379389752446747"/>
    <n v="0.34"/>
    <m/>
    <s v=""/>
    <m/>
    <s v=""/>
    <x v="2"/>
    <x v="0"/>
  </r>
  <r>
    <s v="Cartoon Embroidered Mini Towel Bear Cotton Wash Cloth Hand 4pcs"/>
    <x v="44"/>
    <n v="1810"/>
    <n v="620"/>
    <n v="0.34254143646408841"/>
    <n v="0.34"/>
    <m/>
    <s v=""/>
    <m/>
    <s v=""/>
    <x v="2"/>
    <x v="0"/>
  </r>
  <r>
    <s v="Shower Nozzle Cleaning Unclogging Needle Mini Crevice Small Hole Cleaning Brush"/>
    <x v="99"/>
    <n v="1699"/>
    <n v="41"/>
    <n v="2.4131842260153032E-2"/>
    <n v="0.02"/>
    <m/>
    <s v=""/>
    <m/>
    <s v=""/>
    <x v="2"/>
    <x v="2"/>
  </r>
  <r>
    <s v="Thickening Multipurpose Non Stick Easy To Clean Heat Resistant Spoon Pad"/>
    <x v="100"/>
    <n v="1799"/>
    <n v="31"/>
    <n v="1.7231795441912175E-2"/>
    <n v="0.02"/>
    <m/>
    <s v=""/>
    <m/>
    <s v=""/>
    <x v="2"/>
    <x v="2"/>
  </r>
  <r>
    <s v="6 In 1 Bottle Can Opener Multifunctional Easy Opener"/>
    <x v="47"/>
    <n v="553"/>
    <n v="354"/>
    <n v="0.64014466546112114"/>
    <n v="0.64"/>
    <m/>
    <s v=""/>
    <m/>
    <s v=""/>
    <x v="2"/>
    <x v="1"/>
  </r>
  <r>
    <s v="Wall-mounted Sticker Punch-free Plug Fixer"/>
    <x v="101"/>
    <n v="900"/>
    <n v="450"/>
    <n v="0.5"/>
    <n v="0.5"/>
    <n v="-1"/>
    <n v="1"/>
    <s v="2 out of 5"/>
    <n v="2"/>
    <x v="3"/>
    <x v="1"/>
  </r>
  <r>
    <s v="Black Simple Water Cup Wine Coaster Anti Slip Absorbent"/>
    <x v="102"/>
    <n v="320"/>
    <n v="151"/>
    <n v="0.47187499999999999"/>
    <n v="0.47"/>
    <m/>
    <s v=""/>
    <m/>
    <s v=""/>
    <x v="2"/>
    <x v="1"/>
  </r>
  <r>
    <m/>
    <x v="103"/>
    <m/>
    <m/>
    <m/>
    <m/>
    <m/>
    <m/>
    <m/>
    <m/>
    <x v="4"/>
    <x v="3"/>
  </r>
  <r>
    <s v="AVERAGE CURRENT PRICE"/>
    <x v="104"/>
    <n v="1811.1071428571429"/>
    <m/>
    <n v="0.36714123251752773"/>
    <m/>
    <m/>
    <m/>
    <m/>
    <n v="3.8894736842105258"/>
    <x v="4"/>
    <x v="3"/>
  </r>
  <r>
    <s v="EXPENSIVE"/>
    <x v="62"/>
    <m/>
    <m/>
    <m/>
    <m/>
    <m/>
    <m/>
    <m/>
    <m/>
    <x v="4"/>
    <x v="3"/>
  </r>
  <r>
    <s v="LEAST EXPENSIVE"/>
    <x v="19"/>
    <m/>
    <m/>
    <m/>
    <m/>
    <m/>
    <m/>
    <m/>
    <m/>
    <x v="4"/>
    <x v="3"/>
  </r>
  <r>
    <m/>
    <x v="103"/>
    <m/>
    <m/>
    <m/>
    <m/>
    <m/>
    <m/>
    <m/>
    <m/>
    <x v="4"/>
    <x v="3"/>
  </r>
  <r>
    <m/>
    <x v="103"/>
    <m/>
    <m/>
    <m/>
    <m/>
    <m/>
    <m/>
    <m/>
    <m/>
    <x v="4"/>
    <x v="3"/>
  </r>
  <r>
    <m/>
    <x v="103"/>
    <m/>
    <m/>
    <m/>
    <m/>
    <m/>
    <m/>
    <m/>
    <m/>
    <x v="4"/>
    <x v="3"/>
  </r>
  <r>
    <s v="EXPENSIVE"/>
    <x v="105"/>
    <m/>
    <m/>
    <m/>
    <m/>
    <m/>
    <m/>
    <m/>
    <m/>
    <x v="4"/>
    <x v="3"/>
  </r>
  <r>
    <s v="LEAST EXPENSIVE"/>
    <x v="106"/>
    <m/>
    <m/>
    <m/>
    <m/>
    <m/>
    <m/>
    <m/>
    <m/>
    <x v="4"/>
    <x v="3"/>
  </r>
  <r>
    <m/>
    <x v="103"/>
    <m/>
    <m/>
    <m/>
    <m/>
    <m/>
    <m/>
    <m/>
    <m/>
    <x v="4"/>
    <x v="3"/>
  </r>
</pivotCacheRecords>
</file>

<file path=xl/pivotCache/pivotCacheRecords3.xml><?xml version="1.0" encoding="utf-8"?>
<pivotCacheRecords xmlns="http://schemas.openxmlformats.org/spreadsheetml/2006/main" xmlns:r="http://schemas.openxmlformats.org/officeDocument/2006/relationships" count="112">
  <r>
    <x v="0"/>
    <n v="950"/>
    <n v="1525"/>
    <n v="575"/>
    <x v="0"/>
    <n v="0.38"/>
    <n v="-2"/>
    <n v="2"/>
    <s v="4.5 out of 5"/>
    <n v="4.5"/>
    <s v="EXCELLENT"/>
    <s v="MEDIUM"/>
    <n v="2.4692622950819674"/>
  </r>
  <r>
    <x v="1"/>
    <n v="527"/>
    <n v="999"/>
    <n v="472"/>
    <x v="1"/>
    <n v="0.47"/>
    <n v="-14"/>
    <n v="14"/>
    <s v="4.1 out of 5"/>
    <n v="4.0999999999999996"/>
    <s v="EXCELLENT"/>
    <s v="HIGH DISCOUNT"/>
    <n v="7.153118118118118"/>
  </r>
  <r>
    <x v="2"/>
    <n v="2199"/>
    <n v="2923"/>
    <n v="724"/>
    <x v="2"/>
    <n v="0.25"/>
    <n v="-24"/>
    <n v="24"/>
    <s v="4.6 out of 5"/>
    <n v="4.5999999999999996"/>
    <s v="EXCELLENT"/>
    <s v="MEDIUM"/>
    <n v="11.271922682175848"/>
  </r>
  <r>
    <x v="3"/>
    <n v="1580"/>
    <n v="2499"/>
    <n v="919"/>
    <x v="3"/>
    <n v="0.37"/>
    <n v="-7"/>
    <n v="7"/>
    <s v="4.7 out of 5"/>
    <n v="4.7"/>
    <s v="EXCELLENT"/>
    <s v="MEDIUM"/>
    <n v="4.5369367747098845"/>
  </r>
  <r>
    <x v="4"/>
    <n v="1740"/>
    <n v="2356"/>
    <n v="616"/>
    <x v="4"/>
    <n v="0.26"/>
    <n v="-5"/>
    <n v="5"/>
    <s v="4.8 out of 5"/>
    <n v="4.8"/>
    <s v="EXCELLENT"/>
    <s v="MEDIUM"/>
    <n v="3.7453650254668927"/>
  </r>
  <r>
    <x v="5"/>
    <n v="2999"/>
    <n v="3290"/>
    <n v="291"/>
    <x v="5"/>
    <n v="0.09"/>
    <n v="-15"/>
    <n v="15"/>
    <s v="4 out of 5"/>
    <n v="4"/>
    <s v="AVERAGE"/>
    <s v="LOW DISCOUNT"/>
    <n v="7.422112462006079"/>
  </r>
  <r>
    <x v="6"/>
    <n v="2319"/>
    <n v="3032"/>
    <n v="713"/>
    <x v="6"/>
    <n v="0.24"/>
    <n v="-55"/>
    <n v="55"/>
    <s v="4.6 out of 5"/>
    <n v="4.5999999999999996"/>
    <s v="EXCELLENT"/>
    <s v="MEDIUM"/>
    <n v="23.66878957783641"/>
  </r>
  <r>
    <x v="7"/>
    <n v="988"/>
    <n v="1580"/>
    <n v="592"/>
    <x v="7"/>
    <n v="0.37"/>
    <n v="-2"/>
    <n v="2"/>
    <s v="4 out of 5"/>
    <n v="4"/>
    <s v="AVERAGE"/>
    <s v="MEDIUM"/>
    <n v="2.2936708860759496"/>
  </r>
  <r>
    <x v="8"/>
    <n v="1274"/>
    <n v="2800"/>
    <n v="1526"/>
    <x v="8"/>
    <n v="0.55000000000000004"/>
    <n v="-5"/>
    <n v="5"/>
    <s v="4.8 out of 5"/>
    <n v="4.8"/>
    <s v="EXCELLENT"/>
    <s v="HIGH DISCOUNT"/>
    <n v="3.8162499999999997"/>
  </r>
  <r>
    <x v="9"/>
    <n v="1600"/>
    <n v="2929"/>
    <n v="1329"/>
    <x v="9"/>
    <n v="0.45"/>
    <n v="-5"/>
    <n v="5"/>
    <s v="3.8 out of 5"/>
    <n v="3.8"/>
    <s v="AVERAGE"/>
    <s v="HIGH DISCOUNT"/>
    <n v="3.4434346193240013"/>
  </r>
  <r>
    <x v="10"/>
    <n v="799"/>
    <n v="999"/>
    <n v="200"/>
    <x v="10"/>
    <n v="0.2"/>
    <n v="-12"/>
    <n v="12"/>
    <s v="4.1 out of 5"/>
    <n v="4.0999999999999996"/>
    <s v="EXCELLENT"/>
    <s v="MEDIUM"/>
    <n v="6.2850500500500504"/>
  </r>
  <r>
    <x v="11"/>
    <n v="990"/>
    <n v="1500"/>
    <n v="510"/>
    <x v="11"/>
    <n v="0.34"/>
    <n v="-39"/>
    <n v="39"/>
    <s v="4.7 out of 5"/>
    <n v="4.7"/>
    <s v="EXCELLENT"/>
    <s v="MEDIUM"/>
    <n v="17.330000000000002"/>
  </r>
  <r>
    <x v="12"/>
    <n v="552"/>
    <n v="1035"/>
    <n v="483"/>
    <x v="12"/>
    <n v="0.47"/>
    <n v="-12"/>
    <n v="12"/>
    <s v="4.8 out of 5"/>
    <n v="4.8"/>
    <s v="EXCELLENT"/>
    <s v="HIGH DISCOUNT"/>
    <n v="6.5966666666666667"/>
  </r>
  <r>
    <x v="13"/>
    <n v="501"/>
    <n v="860"/>
    <n v="359"/>
    <x v="13"/>
    <n v="0.42"/>
    <n v="-6"/>
    <n v="6"/>
    <s v="4.5 out of 5"/>
    <n v="4.5"/>
    <s v="EXCELLENT"/>
    <s v="HIGH DISCOUNT"/>
    <n v="4.07936046511628"/>
  </r>
  <r>
    <x v="14"/>
    <n v="1680"/>
    <n v="2499"/>
    <n v="819"/>
    <x v="14"/>
    <n v="0.33"/>
    <n v="-9"/>
    <n v="9"/>
    <s v="4.2 out of 5"/>
    <n v="4.2"/>
    <s v="EXCELLENT"/>
    <s v="MEDIUM"/>
    <n v="5.1519327731092437"/>
  </r>
  <r>
    <x v="15"/>
    <n v="332"/>
    <n v="684"/>
    <n v="352"/>
    <x v="15"/>
    <n v="0.51"/>
    <n v="-2"/>
    <n v="2"/>
    <s v="5 out of 5"/>
    <n v="5"/>
    <s v="EXCELLENT"/>
    <s v="HIGH DISCOUNT"/>
    <n v="2.6786549707602338"/>
  </r>
  <r>
    <x v="16"/>
    <n v="195"/>
    <n v="360"/>
    <n v="165"/>
    <x v="16"/>
    <n v="0.46"/>
    <n v="-2"/>
    <n v="2"/>
    <s v="5 out of 5"/>
    <n v="5"/>
    <s v="EXCELLENT"/>
    <s v="HIGH DISCOUNT"/>
    <n v="2.6645833333333333"/>
  </r>
  <r>
    <x v="17"/>
    <n v="2025"/>
    <n v="3971"/>
    <n v="1946"/>
    <x v="17"/>
    <n v="0.49"/>
    <n v="-3"/>
    <n v="3"/>
    <s v="5 out of 5"/>
    <n v="5"/>
    <s v="EXCELLENT"/>
    <s v="HIGH DISCOUNT"/>
    <n v="3.072513220851171"/>
  </r>
  <r>
    <x v="18"/>
    <n v="2999"/>
    <n v="3699"/>
    <n v="700"/>
    <x v="18"/>
    <n v="0.19"/>
    <n v="-5"/>
    <n v="5"/>
    <s v="4.6 out of 5"/>
    <n v="4.5999999999999996"/>
    <s v="EXCELLENT"/>
    <s v="LOW DISCOUNT"/>
    <n v="3.6573100838064341"/>
  </r>
  <r>
    <x v="19"/>
    <n v="998"/>
    <n v="1966"/>
    <n v="968"/>
    <x v="19"/>
    <n v="0.49"/>
    <n v="-44"/>
    <n v="44"/>
    <s v="4.6 out of 5"/>
    <n v="4.5999999999999996"/>
    <s v="EXCELLENT"/>
    <s v="HIGH DISCOUNT"/>
    <n v="19.333092573753817"/>
  </r>
  <r>
    <x v="20"/>
    <n v="38"/>
    <n v="80"/>
    <n v="42"/>
    <x v="20"/>
    <n v="0.53"/>
    <n v="-13"/>
    <n v="13"/>
    <s v="3.3 out of 5"/>
    <n v="3.3"/>
    <s v="AVERAGE"/>
    <s v="HIGH DISCOUNT"/>
    <n v="6.4862500000000001"/>
  </r>
  <r>
    <x v="21"/>
    <n v="1860"/>
    <n v="3220"/>
    <n v="1360"/>
    <x v="21"/>
    <n v="0.42"/>
    <m/>
    <s v=""/>
    <m/>
    <s v=""/>
    <s v=""/>
    <s v="HIGH DISCOUNT"/>
    <s v=""/>
  </r>
  <r>
    <x v="22"/>
    <n v="880"/>
    <n v="1350"/>
    <n v="470"/>
    <x v="22"/>
    <n v="0.35"/>
    <n v="-6"/>
    <n v="6"/>
    <s v="4 out of 5"/>
    <n v="4"/>
    <s v="AVERAGE"/>
    <s v="MEDIUM"/>
    <n v="3.8870370370370373"/>
  </r>
  <r>
    <x v="23"/>
    <n v="1650"/>
    <n v="2150"/>
    <n v="500"/>
    <x v="23"/>
    <n v="0.23"/>
    <n v="-14"/>
    <n v="14"/>
    <s v="4.4 out of 5"/>
    <n v="4.4000000000000004"/>
    <s v="EXCELLENT"/>
    <s v="MEDIUM"/>
    <n v="7.1981395348837216"/>
  </r>
  <r>
    <x v="24"/>
    <n v="2048"/>
    <n v="4500"/>
    <n v="2452"/>
    <x v="24"/>
    <n v="0.54"/>
    <n v="-7"/>
    <n v="7"/>
    <s v="4.3 out of 5"/>
    <n v="4.3"/>
    <s v="EXCELLENT"/>
    <s v="HIGH DISCOUNT"/>
    <n v="4.4412222222222217"/>
  </r>
  <r>
    <x v="25"/>
    <n v="420"/>
    <n v="647"/>
    <n v="227"/>
    <x v="25"/>
    <n v="0.35"/>
    <n v="-49"/>
    <n v="49"/>
    <s v="4.6 out of 5"/>
    <n v="4.5999999999999996"/>
    <s v="EXCELLENT"/>
    <s v="MEDIUM"/>
    <n v="21.297712519319941"/>
  </r>
  <r>
    <x v="26"/>
    <n v="2880"/>
    <n v="3520"/>
    <n v="640"/>
    <x v="26"/>
    <n v="0.18"/>
    <n v="-12"/>
    <n v="12"/>
    <s v="3.8 out of 5"/>
    <n v="3.8"/>
    <s v="AVERAGE"/>
    <s v="LOW DISCOUNT"/>
    <n v="6.1754545454545466"/>
  </r>
  <r>
    <x v="27"/>
    <n v="1350"/>
    <n v="1990"/>
    <n v="640"/>
    <x v="27"/>
    <n v="0.32"/>
    <n v="-13"/>
    <n v="13"/>
    <s v="3.8 out of 5"/>
    <n v="3.8"/>
    <s v="AVERAGE"/>
    <s v="MEDIUM"/>
    <n v="6.6104020100502519"/>
  </r>
  <r>
    <x v="28"/>
    <n v="1758"/>
    <n v="2499"/>
    <n v="741"/>
    <x v="28"/>
    <n v="0.3"/>
    <n v="-20"/>
    <n v="20"/>
    <s v="4.1 out of 5"/>
    <n v="4.0999999999999996"/>
    <s v="EXCELLENT"/>
    <s v="MEDIUM"/>
    <n v="9.5091296518607447"/>
  </r>
  <r>
    <x v="29"/>
    <n v="2200"/>
    <n v="4080"/>
    <n v="1880"/>
    <x v="29"/>
    <n v="0.46"/>
    <m/>
    <s v=""/>
    <m/>
    <s v=""/>
    <s v=""/>
    <s v="HIGH DISCOUNT"/>
    <s v=""/>
  </r>
  <r>
    <x v="30"/>
    <n v="185"/>
    <n v="382"/>
    <n v="197"/>
    <x v="30"/>
    <n v="0.52"/>
    <n v="-9"/>
    <n v="9"/>
    <s v="4.3 out of 5"/>
    <n v="4.3"/>
    <s v="EXCELLENT"/>
    <s v="HIGH DISCOUNT"/>
    <n v="5.233926701570681"/>
  </r>
  <r>
    <x v="31"/>
    <n v="980"/>
    <n v="1490"/>
    <n v="510"/>
    <x v="31"/>
    <n v="0.34"/>
    <n v="-12"/>
    <n v="12"/>
    <s v="4.7 out of 5"/>
    <n v="4.7"/>
    <s v="EXCELLENT"/>
    <s v="MEDIUM"/>
    <n v="6.5305704697986577"/>
  </r>
  <r>
    <x v="32"/>
    <n v="1820"/>
    <n v="3490"/>
    <n v="1670"/>
    <x v="32"/>
    <n v="0.48"/>
    <n v="-9"/>
    <n v="9"/>
    <s v="4.3 out of 5"/>
    <n v="4.3"/>
    <s v="EXCELLENT"/>
    <s v="HIGH DISCOUNT"/>
    <n v="5.2246275071633246"/>
  </r>
  <r>
    <x v="33"/>
    <n v="1940"/>
    <n v="2650"/>
    <n v="710"/>
    <x v="33"/>
    <n v="0.27"/>
    <n v="-20"/>
    <n v="20"/>
    <s v="4.7 out of 5"/>
    <n v="4.7"/>
    <s v="EXCELLENT"/>
    <s v="MEDIUM"/>
    <n v="9.7119811320754721"/>
  </r>
  <r>
    <x v="34"/>
    <n v="1980"/>
    <n v="2699"/>
    <n v="719"/>
    <x v="34"/>
    <n v="0.27"/>
    <n v="-32"/>
    <n v="32"/>
    <s v="4.5 out of 5"/>
    <n v="4.5"/>
    <s v="EXCELLENT"/>
    <s v="MEDIUM"/>
    <n v="14.441598740274175"/>
  </r>
  <r>
    <x v="35"/>
    <n v="1620"/>
    <n v="2690"/>
    <n v="1070"/>
    <x v="35"/>
    <n v="0.4"/>
    <n v="-1"/>
    <n v="1"/>
    <s v="5 out of 5"/>
    <n v="5"/>
    <s v="EXCELLENT"/>
    <s v="MEDIUM"/>
    <n v="2.2494423791821561"/>
  </r>
  <r>
    <x v="36"/>
    <n v="171"/>
    <n v="360"/>
    <n v="189"/>
    <x v="20"/>
    <n v="0.53"/>
    <n v="-2"/>
    <n v="2"/>
    <s v="5 out of 5"/>
    <n v="5"/>
    <s v="EXCELLENT"/>
    <s v="HIGH DISCOUNT"/>
    <n v="2.6812499999999999"/>
  </r>
  <r>
    <x v="37"/>
    <n v="389"/>
    <n v="656"/>
    <n v="267"/>
    <x v="36"/>
    <n v="0.41"/>
    <n v="-36"/>
    <n v="36"/>
    <s v="4.3 out of 5"/>
    <n v="4.3"/>
    <s v="EXCELLENT"/>
    <s v="HIGH DISCOUNT"/>
    <n v="16.006753048780489"/>
  </r>
  <r>
    <x v="38"/>
    <n v="1800"/>
    <n v="2700"/>
    <n v="900"/>
    <x v="37"/>
    <n v="0.38"/>
    <n v="-2"/>
    <n v="2"/>
    <s v="4.5 out of 5"/>
    <n v="4.5"/>
    <s v="EXCELLENT"/>
    <s v="MEDIUM"/>
    <n v="2.4583333333333335"/>
  </r>
  <r>
    <x v="39"/>
    <n v="2750"/>
    <n v="4471"/>
    <n v="1721"/>
    <x v="38"/>
    <n v="0.38"/>
    <m/>
    <s v=""/>
    <m/>
    <s v=""/>
    <s v=""/>
    <s v="MEDIUM"/>
    <s v=""/>
  </r>
  <r>
    <x v="40"/>
    <n v="475"/>
    <n v="931"/>
    <n v="456"/>
    <x v="39"/>
    <n v="0.49"/>
    <m/>
    <s v=""/>
    <m/>
    <s v=""/>
    <s v=""/>
    <s v="HIGH DISCOUNT"/>
    <s v=""/>
  </r>
  <r>
    <x v="41"/>
    <n v="238"/>
    <n v="476"/>
    <n v="238"/>
    <x v="40"/>
    <n v="0.5"/>
    <m/>
    <s v=""/>
    <m/>
    <s v=""/>
    <s v=""/>
    <s v="HIGH DISCOUNT"/>
    <s v=""/>
  </r>
  <r>
    <x v="42"/>
    <n v="610"/>
    <n v="1060"/>
    <n v="450"/>
    <x v="41"/>
    <n v="0.42"/>
    <m/>
    <s v=""/>
    <m/>
    <s v=""/>
    <s v=""/>
    <s v="HIGH DISCOUNT"/>
    <s v=""/>
  </r>
  <r>
    <x v="43"/>
    <n v="2132"/>
    <n v="2169"/>
    <n v="37"/>
    <x v="42"/>
    <n v="0.02"/>
    <m/>
    <s v=""/>
    <m/>
    <s v=""/>
    <s v=""/>
    <s v="LOW DISCOUNT"/>
    <s v=""/>
  </r>
  <r>
    <x v="44"/>
    <n v="999"/>
    <n v="2000"/>
    <n v="1001"/>
    <x v="43"/>
    <n v="0.5"/>
    <m/>
    <s v=""/>
    <m/>
    <s v=""/>
    <s v=""/>
    <s v="HIGH DISCOUNT"/>
    <s v=""/>
  </r>
  <r>
    <x v="45"/>
    <n v="1190"/>
    <n v="1785"/>
    <n v="595"/>
    <x v="37"/>
    <n v="0.33"/>
    <m/>
    <s v=""/>
    <m/>
    <s v=""/>
    <s v=""/>
    <s v="MEDIUM"/>
    <s v=""/>
  </r>
  <r>
    <x v="46"/>
    <n v="671"/>
    <n v="1316"/>
    <n v="645"/>
    <x v="44"/>
    <n v="0.49"/>
    <m/>
    <s v=""/>
    <m/>
    <s v=""/>
    <s v=""/>
    <s v="HIGH DISCOUNT"/>
    <s v=""/>
  </r>
  <r>
    <x v="47"/>
    <n v="1200"/>
    <n v="1950"/>
    <n v="750"/>
    <x v="45"/>
    <n v="0.38"/>
    <m/>
    <s v=""/>
    <m/>
    <s v=""/>
    <s v=""/>
    <s v="MEDIUM"/>
    <s v=""/>
  </r>
  <r>
    <x v="48"/>
    <n v="199"/>
    <n v="504"/>
    <n v="305"/>
    <x v="46"/>
    <n v="0.61"/>
    <m/>
    <s v=""/>
    <m/>
    <s v=""/>
    <s v=""/>
    <s v="HIGH DISCOUNT"/>
    <s v=""/>
  </r>
  <r>
    <x v="49"/>
    <n v="299"/>
    <n v="600"/>
    <n v="301"/>
    <x v="47"/>
    <n v="0.5"/>
    <m/>
    <s v=""/>
    <m/>
    <s v=""/>
    <s v=""/>
    <s v="HIGH DISCOUNT"/>
    <s v=""/>
  </r>
  <r>
    <x v="50"/>
    <n v="1660"/>
    <n v="1699"/>
    <n v="39"/>
    <x v="48"/>
    <n v="0.02"/>
    <m/>
    <s v=""/>
    <m/>
    <s v=""/>
    <s v=""/>
    <s v="LOW DISCOUNT"/>
    <s v=""/>
  </r>
  <r>
    <x v="51"/>
    <n v="299"/>
    <n v="384"/>
    <n v="85"/>
    <x v="49"/>
    <n v="0.22"/>
    <m/>
    <s v=""/>
    <m/>
    <s v=""/>
    <s v=""/>
    <s v="MEDIUM"/>
    <s v=""/>
  </r>
  <r>
    <x v="52"/>
    <n v="1459"/>
    <n v="1499"/>
    <n v="40"/>
    <x v="50"/>
    <n v="0.03"/>
    <m/>
    <s v=""/>
    <m/>
    <s v=""/>
    <s v=""/>
    <s v="LOW DISCOUNT"/>
    <s v=""/>
  </r>
  <r>
    <x v="53"/>
    <n v="799"/>
    <n v="1343"/>
    <n v="544"/>
    <x v="51"/>
    <n v="0.41"/>
    <m/>
    <s v=""/>
    <m/>
    <s v=""/>
    <s v=""/>
    <s v="HIGH DISCOUNT"/>
    <s v=""/>
  </r>
  <r>
    <x v="54"/>
    <n v="499"/>
    <n v="900"/>
    <n v="401"/>
    <x v="52"/>
    <n v="0.45"/>
    <m/>
    <s v=""/>
    <m/>
    <s v=""/>
    <s v=""/>
    <s v="HIGH DISCOUNT"/>
    <s v=""/>
  </r>
  <r>
    <x v="55"/>
    <n v="699"/>
    <n v="1343"/>
    <n v="644"/>
    <x v="53"/>
    <n v="0.48"/>
    <m/>
    <s v=""/>
    <m/>
    <s v=""/>
    <s v=""/>
    <s v="HIGH DISCOUNT"/>
    <s v=""/>
  </r>
  <r>
    <x v="56"/>
    <n v="799"/>
    <n v="1567"/>
    <n v="768"/>
    <x v="54"/>
    <n v="0.49"/>
    <m/>
    <s v=""/>
    <m/>
    <s v=""/>
    <s v=""/>
    <s v="HIGH DISCOUNT"/>
    <s v=""/>
  </r>
  <r>
    <x v="57"/>
    <n v="2799"/>
    <n v="3810"/>
    <n v="1011"/>
    <x v="55"/>
    <n v="0.27"/>
    <m/>
    <s v=""/>
    <m/>
    <s v=""/>
    <s v=""/>
    <s v="MEDIUM"/>
    <s v=""/>
  </r>
  <r>
    <x v="54"/>
    <n v="399"/>
    <n v="896"/>
    <n v="497"/>
    <x v="56"/>
    <n v="0.55000000000000004"/>
    <m/>
    <s v=""/>
    <m/>
    <s v=""/>
    <s v=""/>
    <s v="HIGH DISCOUNT"/>
    <s v=""/>
  </r>
  <r>
    <x v="58"/>
    <n v="2170"/>
    <n v="2500"/>
    <n v="330"/>
    <x v="57"/>
    <n v="0.13"/>
    <n v="-6"/>
    <n v="6"/>
    <s v="2.5 out of 5"/>
    <n v="2.5"/>
    <s v="POOR"/>
    <s v="LOW DISCOUNT"/>
    <n v="3.3080000000000003"/>
  </r>
  <r>
    <x v="59"/>
    <n v="458"/>
    <n v="986"/>
    <n v="528"/>
    <x v="58"/>
    <n v="0.54"/>
    <n v="-10"/>
    <n v="10"/>
    <s v="3 out of 5"/>
    <n v="3"/>
    <s v="AVERAGE"/>
    <s v="HIGH DISCOUNT"/>
    <n v="5.1838742393509127"/>
  </r>
  <r>
    <x v="60"/>
    <n v="2115"/>
    <n v="4700"/>
    <n v="2585"/>
    <x v="59"/>
    <n v="0.55000000000000004"/>
    <n v="-13"/>
    <n v="13"/>
    <s v="2.1 out of 5"/>
    <n v="2.1"/>
    <s v="POOR"/>
    <s v="HIGH DISCOUNT"/>
    <n v="6.0725000000000007"/>
  </r>
  <r>
    <x v="61"/>
    <n v="445"/>
    <n v="873"/>
    <n v="428"/>
    <x v="60"/>
    <n v="0.49"/>
    <n v="-69"/>
    <n v="69"/>
    <s v="2.8 out of 5"/>
    <n v="2.8"/>
    <s v="POOR"/>
    <s v="HIGH DISCOUNT"/>
    <n v="28.702565864833907"/>
  </r>
  <r>
    <x v="62"/>
    <n v="325"/>
    <n v="680"/>
    <n v="355"/>
    <x v="61"/>
    <n v="0.52"/>
    <n v="-15"/>
    <n v="15"/>
    <s v="2.7 out of 5"/>
    <n v="2.7"/>
    <s v="POOR"/>
    <s v="HIGH DISCOUNT"/>
    <n v="7.0755147058823535"/>
  </r>
  <r>
    <x v="63"/>
    <n v="1220"/>
    <n v="1555"/>
    <n v="335"/>
    <x v="62"/>
    <n v="0.22"/>
    <n v="-16"/>
    <n v="16"/>
    <s v="2.9 out of 5"/>
    <n v="2.9"/>
    <s v="POOR"/>
    <s v="MEDIUM"/>
    <n v="7.468858520900322"/>
  </r>
  <r>
    <x v="64"/>
    <n v="990"/>
    <n v="1814"/>
    <n v="824"/>
    <x v="63"/>
    <n v="0.45"/>
    <n v="-6"/>
    <n v="6"/>
    <s v="2.2 out of 5"/>
    <n v="2.2000000000000002"/>
    <s v="POOR"/>
    <s v="HIGH DISCOUNT"/>
    <n v="3.2835611907386992"/>
  </r>
  <r>
    <x v="65"/>
    <n v="1000"/>
    <n v="2000"/>
    <n v="1000"/>
    <x v="40"/>
    <n v="0.5"/>
    <n v="-7"/>
    <n v="7"/>
    <s v="2.3 out of 5"/>
    <n v="2.2999999999999998"/>
    <s v="POOR"/>
    <s v="HIGH DISCOUNT"/>
    <n v="3.7300000000000004"/>
  </r>
  <r>
    <x v="66"/>
    <n v="3750"/>
    <n v="6143"/>
    <n v="2393"/>
    <x v="64"/>
    <n v="0.39"/>
    <n v="-5"/>
    <n v="5"/>
    <s v="3 out of 5"/>
    <n v="3"/>
    <s v="AVERAGE"/>
    <s v="MEDIUM"/>
    <n v="3.1473872700634868"/>
  </r>
  <r>
    <x v="67"/>
    <n v="382"/>
    <n v="700"/>
    <n v="318"/>
    <x v="65"/>
    <n v="0.45"/>
    <n v="-17"/>
    <n v="17"/>
    <s v="2.6 out of 5"/>
    <n v="2.6"/>
    <s v="POOR"/>
    <s v="HIGH DISCOUNT"/>
    <n v="7.8235714285714293"/>
  </r>
  <r>
    <x v="68"/>
    <n v="2300"/>
    <n v="3240"/>
    <n v="940"/>
    <x v="66"/>
    <n v="0.28999999999999998"/>
    <n v="-5"/>
    <n v="5"/>
    <s v="3 out of 5"/>
    <n v="3"/>
    <s v="AVERAGE"/>
    <s v="MEDIUM"/>
    <n v="3.1225308641975307"/>
  </r>
  <r>
    <x v="69"/>
    <n v="345"/>
    <n v="602"/>
    <n v="257"/>
    <x v="67"/>
    <n v="0.43"/>
    <n v="-6"/>
    <n v="6"/>
    <s v="2.3 out of 5"/>
    <n v="2.2999999999999998"/>
    <s v="POOR"/>
    <s v="HIGH DISCOUNT"/>
    <n v="3.3117275747508308"/>
  </r>
  <r>
    <x v="70"/>
    <n v="509"/>
    <n v="899"/>
    <n v="390"/>
    <x v="68"/>
    <n v="0.43"/>
    <n v="-5"/>
    <n v="5"/>
    <s v="3 out of 5"/>
    <n v="3"/>
    <s v="AVERAGE"/>
    <s v="HIGH DISCOUNT"/>
    <n v="3.1584538375973303"/>
  </r>
  <r>
    <x v="71"/>
    <n v="968"/>
    <n v="1814"/>
    <n v="846"/>
    <x v="69"/>
    <n v="0.47"/>
    <n v="-6"/>
    <n v="6"/>
    <s v="2.2 out of 5"/>
    <n v="2.2000000000000002"/>
    <s v="POOR"/>
    <s v="HIGH DISCOUNT"/>
    <n v="3.2865931642778392"/>
  </r>
  <r>
    <x v="72"/>
    <n v="1570"/>
    <n v="2988"/>
    <n v="1418"/>
    <x v="70"/>
    <n v="0.47"/>
    <n v="-7"/>
    <n v="7"/>
    <s v="2.1 out of 5"/>
    <n v="2.1"/>
    <s v="POOR"/>
    <s v="HIGH DISCOUNT"/>
    <n v="3.6536412315930389"/>
  </r>
  <r>
    <x v="73"/>
    <n v="790"/>
    <n v="1485"/>
    <n v="695"/>
    <x v="71"/>
    <n v="0.47"/>
    <m/>
    <s v=""/>
    <m/>
    <s v=""/>
    <s v=""/>
    <s v="HIGH DISCOUNT"/>
    <s v=""/>
  </r>
  <r>
    <x v="74"/>
    <n v="690"/>
    <n v="1200"/>
    <n v="510"/>
    <x v="72"/>
    <n v="0.43"/>
    <m/>
    <s v=""/>
    <m/>
    <s v=""/>
    <s v=""/>
    <s v="HIGH DISCOUNT"/>
    <s v=""/>
  </r>
  <r>
    <x v="75"/>
    <n v="1732"/>
    <n v="1799"/>
    <n v="67"/>
    <x v="73"/>
    <n v="0.04"/>
    <m/>
    <s v=""/>
    <m/>
    <s v=""/>
    <s v=""/>
    <s v="LOW DISCOUNT"/>
    <s v=""/>
  </r>
  <r>
    <x v="76"/>
    <n v="230"/>
    <n v="450"/>
    <n v="220"/>
    <x v="74"/>
    <n v="0.49"/>
    <m/>
    <s v=""/>
    <m/>
    <s v=""/>
    <s v=""/>
    <s v="HIGH DISCOUNT"/>
    <s v=""/>
  </r>
  <r>
    <x v="77"/>
    <n v="1189"/>
    <n v="2199"/>
    <n v="1010"/>
    <x v="75"/>
    <n v="0.46"/>
    <n v="-1"/>
    <n v="1"/>
    <s v="3 out of 5"/>
    <n v="3"/>
    <s v="AVERAGE"/>
    <s v="HIGH DISCOUNT"/>
    <n v="1.5648249204183717"/>
  </r>
  <r>
    <x v="78"/>
    <n v="979"/>
    <n v="1920"/>
    <n v="941"/>
    <x v="76"/>
    <n v="0.49"/>
    <n v="-1"/>
    <n v="1"/>
    <s v="5 out of 5"/>
    <n v="5"/>
    <s v="EXCELLENT"/>
    <s v="HIGH DISCOUNT"/>
    <n v="2.2725260416666666"/>
  </r>
  <r>
    <x v="79"/>
    <n v="1460"/>
    <n v="2290"/>
    <n v="830"/>
    <x v="77"/>
    <n v="0.36"/>
    <m/>
    <s v=""/>
    <m/>
    <s v=""/>
    <s v=""/>
    <s v="MEDIUM"/>
    <s v=""/>
  </r>
  <r>
    <x v="80"/>
    <n v="1666"/>
    <n v="1699"/>
    <n v="33"/>
    <x v="78"/>
    <n v="0.02"/>
    <m/>
    <s v=""/>
    <m/>
    <s v=""/>
    <s v=""/>
    <s v="LOW DISCOUNT"/>
    <s v=""/>
  </r>
  <r>
    <x v="81"/>
    <n v="330"/>
    <n v="647"/>
    <n v="317"/>
    <x v="79"/>
    <n v="0.49"/>
    <n v="-1"/>
    <n v="1"/>
    <s v="4 out of 5"/>
    <n v="4"/>
    <s v="AVERAGE"/>
    <s v="HIGH DISCOUNT"/>
    <n v="1.9224884080370941"/>
  </r>
  <r>
    <x v="48"/>
    <n v="176"/>
    <n v="345"/>
    <n v="169"/>
    <x v="80"/>
    <n v="0.49"/>
    <m/>
    <s v=""/>
    <m/>
    <s v=""/>
    <s v=""/>
    <s v="HIGH DISCOUNT"/>
    <s v=""/>
  </r>
  <r>
    <x v="82"/>
    <n v="1466"/>
    <n v="1699"/>
    <n v="233"/>
    <x v="81"/>
    <n v="0.14000000000000001"/>
    <m/>
    <s v=""/>
    <m/>
    <s v=""/>
    <s v=""/>
    <s v="LOW DISCOUNT"/>
    <s v=""/>
  </r>
  <r>
    <x v="83"/>
    <n v="274"/>
    <n v="537"/>
    <n v="263"/>
    <x v="82"/>
    <n v="0.49"/>
    <m/>
    <s v=""/>
    <m/>
    <s v=""/>
    <s v=""/>
    <s v="HIGH DISCOUNT"/>
    <s v=""/>
  </r>
  <r>
    <x v="84"/>
    <n v="799"/>
    <n v="900"/>
    <n v="101"/>
    <x v="83"/>
    <n v="0.11"/>
    <m/>
    <s v=""/>
    <m/>
    <s v=""/>
    <s v=""/>
    <s v="LOW DISCOUNT"/>
    <s v=""/>
  </r>
  <r>
    <x v="56"/>
    <n v="657"/>
    <n v="1288"/>
    <n v="631"/>
    <x v="84"/>
    <n v="0.49"/>
    <m/>
    <s v=""/>
    <m/>
    <s v=""/>
    <s v=""/>
    <s v="HIGH DISCOUNT"/>
    <s v=""/>
  </r>
  <r>
    <x v="85"/>
    <n v="1468"/>
    <n v="1699"/>
    <n v="231"/>
    <x v="85"/>
    <n v="0.14000000000000001"/>
    <m/>
    <s v=""/>
    <m/>
    <s v=""/>
    <s v=""/>
    <s v="LOW DISCOUNT"/>
    <s v=""/>
  </r>
  <r>
    <x v="86"/>
    <n v="630"/>
    <n v="1100"/>
    <n v="470"/>
    <x v="86"/>
    <n v="0.43"/>
    <m/>
    <s v=""/>
    <m/>
    <s v=""/>
    <s v=""/>
    <s v="HIGH DISCOUNT"/>
    <s v=""/>
  </r>
  <r>
    <x v="87"/>
    <n v="850"/>
    <n v="1700"/>
    <n v="850"/>
    <x v="40"/>
    <n v="0.5"/>
    <m/>
    <s v=""/>
    <m/>
    <s v=""/>
    <s v=""/>
    <s v="HIGH DISCOUNT"/>
    <s v=""/>
  </r>
  <r>
    <x v="88"/>
    <n v="1300"/>
    <n v="2500"/>
    <n v="1200"/>
    <x v="87"/>
    <n v="0.48"/>
    <m/>
    <s v=""/>
    <m/>
    <s v=""/>
    <s v=""/>
    <s v="HIGH DISCOUNT"/>
    <s v=""/>
  </r>
  <r>
    <x v="89"/>
    <n v="105"/>
    <n v="200"/>
    <n v="95"/>
    <x v="88"/>
    <n v="0.48"/>
    <m/>
    <s v=""/>
    <m/>
    <s v=""/>
    <s v=""/>
    <s v="HIGH DISCOUNT"/>
    <s v=""/>
  </r>
  <r>
    <x v="90"/>
    <n v="899"/>
    <n v="1699"/>
    <n v="800"/>
    <x v="89"/>
    <n v="0.47"/>
    <m/>
    <s v=""/>
    <m/>
    <s v=""/>
    <s v=""/>
    <s v="HIGH DISCOUNT"/>
    <s v=""/>
  </r>
  <r>
    <x v="91"/>
    <n v="1200"/>
    <n v="2400"/>
    <n v="1200"/>
    <x v="40"/>
    <n v="0.5"/>
    <m/>
    <s v=""/>
    <m/>
    <s v=""/>
    <s v=""/>
    <s v="HIGH DISCOUNT"/>
    <s v=""/>
  </r>
  <r>
    <x v="92"/>
    <n v="1526"/>
    <n v="1660"/>
    <n v="134"/>
    <x v="90"/>
    <n v="0.08"/>
    <m/>
    <s v=""/>
    <m/>
    <s v=""/>
    <s v=""/>
    <s v="LOW DISCOUNT"/>
    <s v=""/>
  </r>
  <r>
    <x v="93"/>
    <n v="1462"/>
    <n v="1499"/>
    <n v="37"/>
    <x v="91"/>
    <n v="0.02"/>
    <m/>
    <s v=""/>
    <m/>
    <s v=""/>
    <s v=""/>
    <s v="LOW DISCOUNT"/>
    <s v=""/>
  </r>
  <r>
    <x v="94"/>
    <n v="248"/>
    <n v="486"/>
    <n v="238"/>
    <x v="92"/>
    <n v="0.49"/>
    <m/>
    <s v=""/>
    <m/>
    <s v=""/>
    <s v=""/>
    <s v="HIGH DISCOUNT"/>
    <s v=""/>
  </r>
  <r>
    <x v="95"/>
    <n v="3546"/>
    <n v="3699"/>
    <n v="153"/>
    <x v="93"/>
    <n v="0.04"/>
    <m/>
    <s v=""/>
    <m/>
    <s v=""/>
    <s v=""/>
    <s v="LOW DISCOUNT"/>
    <s v=""/>
  </r>
  <r>
    <x v="96"/>
    <n v="525"/>
    <n v="1029"/>
    <n v="504"/>
    <x v="39"/>
    <n v="0.49"/>
    <m/>
    <s v=""/>
    <m/>
    <s v=""/>
    <s v=""/>
    <s v="HIGH DISCOUNT"/>
    <s v=""/>
  </r>
  <r>
    <x v="97"/>
    <n v="1080"/>
    <n v="1874"/>
    <n v="794"/>
    <x v="94"/>
    <n v="0.42"/>
    <m/>
    <s v=""/>
    <m/>
    <s v=""/>
    <s v=""/>
    <s v="HIGH DISCOUNT"/>
    <s v=""/>
  </r>
  <r>
    <x v="98"/>
    <n v="3640"/>
    <n v="4588"/>
    <n v="948"/>
    <x v="95"/>
    <n v="0.21"/>
    <n v="-1"/>
    <n v="1"/>
    <s v="5 out of 5"/>
    <n v="5"/>
    <s v="EXCELLENT"/>
    <s v="MEDIUM"/>
    <n v="2.2016564952048823"/>
  </r>
  <r>
    <x v="99"/>
    <n v="1420"/>
    <n v="2420"/>
    <n v="1000"/>
    <x v="96"/>
    <n v="0.41"/>
    <m/>
    <s v=""/>
    <m/>
    <s v=""/>
    <s v=""/>
    <s v="HIGH DISCOUNT"/>
    <s v=""/>
  </r>
  <r>
    <x v="100"/>
    <n v="1875"/>
    <n v="1899"/>
    <n v="24"/>
    <x v="97"/>
    <n v="0.01"/>
    <m/>
    <s v=""/>
    <m/>
    <s v=""/>
    <s v=""/>
    <s v="LOW DISCOUNT"/>
    <s v=""/>
  </r>
  <r>
    <x v="101"/>
    <n v="198"/>
    <n v="260"/>
    <n v="62"/>
    <x v="98"/>
    <n v="0.24"/>
    <m/>
    <s v=""/>
    <m/>
    <s v=""/>
    <s v=""/>
    <s v="MEDIUM"/>
    <s v=""/>
  </r>
  <r>
    <x v="102"/>
    <n v="1150"/>
    <n v="1737"/>
    <n v="587"/>
    <x v="99"/>
    <n v="0.34"/>
    <m/>
    <s v=""/>
    <m/>
    <s v=""/>
    <s v=""/>
    <s v="MEDIUM"/>
    <s v=""/>
  </r>
  <r>
    <x v="103"/>
    <n v="1190"/>
    <n v="1810"/>
    <n v="620"/>
    <x v="100"/>
    <n v="0.34"/>
    <m/>
    <s v=""/>
    <m/>
    <s v=""/>
    <s v=""/>
    <s v="MEDIUM"/>
    <s v=""/>
  </r>
  <r>
    <x v="104"/>
    <n v="1658"/>
    <n v="1699"/>
    <n v="41"/>
    <x v="101"/>
    <n v="0.02"/>
    <m/>
    <s v=""/>
    <m/>
    <s v=""/>
    <s v=""/>
    <s v="LOW DISCOUNT"/>
    <s v=""/>
  </r>
  <r>
    <x v="105"/>
    <n v="1768"/>
    <n v="1799"/>
    <n v="31"/>
    <x v="102"/>
    <n v="0.02"/>
    <m/>
    <s v=""/>
    <m/>
    <s v=""/>
    <s v=""/>
    <s v="LOW DISCOUNT"/>
    <s v=""/>
  </r>
  <r>
    <x v="106"/>
    <n v="199"/>
    <n v="553"/>
    <n v="354"/>
    <x v="103"/>
    <n v="0.64"/>
    <m/>
    <s v=""/>
    <m/>
    <s v=""/>
    <s v=""/>
    <s v="HIGH DISCOUNT"/>
    <s v=""/>
  </r>
  <r>
    <x v="107"/>
    <n v="450"/>
    <n v="900"/>
    <n v="450"/>
    <x v="40"/>
    <n v="0.5"/>
    <n v="-1"/>
    <n v="1"/>
    <s v="2 out of 5"/>
    <n v="2"/>
    <s v="POOR"/>
    <s v="HIGH DISCOUNT"/>
    <n v="1.2250000000000001"/>
  </r>
  <r>
    <x v="108"/>
    <n v="169"/>
    <n v="320"/>
    <n v="151"/>
    <x v="104"/>
    <n v="0.47"/>
    <m/>
    <s v=""/>
    <m/>
    <s v=""/>
    <s v=""/>
    <s v="HIGH DISCOUNT"/>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90:C107" firstHeaderRow="1" firstDataRow="1" firstDataCol="0"/>
  <pivotFields count="13">
    <pivotField showAll="0"/>
    <pivotField numFmtId="2" showAll="0"/>
    <pivotField numFmtId="2" showAll="0"/>
    <pivotField numFmtId="2" showAll="0"/>
    <pivotField numFmtId="10" showAll="0"/>
    <pivotField numFmtId="9"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77:C88" firstHeaderRow="0" firstDataRow="1" firstDataCol="1"/>
  <pivotFields count="13">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2" showAll="0"/>
    <pivotField dataField="1"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numFmtId="9" showAll="0"/>
    <pivotField showAll="0"/>
    <pivotField showAll="0"/>
    <pivotField showAll="0"/>
    <pivotField showAll="0"/>
    <pivotField showAll="0"/>
    <pivotField showAll="0"/>
    <pivotField dataField="1" showAll="0"/>
  </pivotFields>
  <rowFields count="1">
    <field x="0"/>
  </rowFields>
  <rowItems count="11">
    <i>
      <x v="20"/>
    </i>
    <i>
      <x v="30"/>
    </i>
    <i>
      <x v="31"/>
    </i>
    <i>
      <x v="52"/>
    </i>
    <i>
      <x v="53"/>
    </i>
    <i>
      <x v="60"/>
    </i>
    <i>
      <x v="64"/>
    </i>
    <i>
      <x v="67"/>
    </i>
    <i>
      <x v="70"/>
    </i>
    <i>
      <x v="84"/>
    </i>
    <i t="grand">
      <x/>
    </i>
  </rowItems>
  <colFields count="1">
    <field x="-2"/>
  </colFields>
  <colItems count="2">
    <i>
      <x/>
    </i>
    <i i="1">
      <x v="1"/>
    </i>
  </colItems>
  <dataFields count="2">
    <dataField name="Average of abs discount %" fld="4" subtotal="average" baseField="0" baseItem="0" numFmtId="10"/>
    <dataField name="Average of Perfomance score" fld="12" subtotal="average" baseField="0" baseItem="20" numFmtId="2"/>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64:B75" firstHeaderRow="1" firstDataRow="1" firstDataCol="1"/>
  <pivotFields count="12">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2" showAll="0"/>
    <pivotField numFmtId="10" showAll="0"/>
    <pivotField numFmtId="9" showAll="0"/>
    <pivotField showAll="0"/>
    <pivotField dataField="1" showAll="0"/>
    <pivotField showAll="0"/>
    <pivotField showAll="0"/>
    <pivotField showAll="0"/>
    <pivotField showAll="0">
      <items count="4">
        <item x="1"/>
        <item x="2"/>
        <item x="0"/>
        <item t="default"/>
      </items>
    </pivotField>
  </pivotFields>
  <rowFields count="1">
    <field x="0"/>
  </rowFields>
  <rowItems count="11">
    <i>
      <x v="1"/>
    </i>
    <i>
      <x v="5"/>
    </i>
    <i>
      <x v="8"/>
    </i>
    <i>
      <x v="18"/>
    </i>
    <i>
      <x v="26"/>
    </i>
    <i>
      <x v="27"/>
    </i>
    <i>
      <x v="28"/>
    </i>
    <i>
      <x v="59"/>
    </i>
    <i>
      <x v="91"/>
    </i>
    <i>
      <x v="95"/>
    </i>
    <i t="grand">
      <x/>
    </i>
  </rowItems>
  <colItems count="1">
    <i/>
  </colItems>
  <dataFields count="1">
    <dataField name="Average of abs review" fld="7"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51:B62" firstHeaderRow="1" firstDataRow="1" firstDataCol="1"/>
  <pivotFields count="12">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2" showAll="0"/>
    <pivotField dataField="1" numFmtId="10" showAll="0"/>
    <pivotField numFmtId="9" showAll="0"/>
    <pivotField showAll="0"/>
    <pivotField showAll="0"/>
    <pivotField showAll="0"/>
    <pivotField showAll="0"/>
    <pivotField showAll="0"/>
    <pivotField showAll="0">
      <items count="4">
        <item x="1"/>
        <item x="2"/>
        <item x="0"/>
        <item t="default"/>
      </items>
    </pivotField>
  </pivotFields>
  <rowFields count="1">
    <field x="0"/>
  </rowFields>
  <rowItems count="11">
    <i>
      <x v="20"/>
    </i>
    <i>
      <x v="30"/>
    </i>
    <i>
      <x v="31"/>
    </i>
    <i>
      <x v="52"/>
    </i>
    <i>
      <x v="53"/>
    </i>
    <i>
      <x v="60"/>
    </i>
    <i>
      <x v="64"/>
    </i>
    <i>
      <x v="67"/>
    </i>
    <i>
      <x v="70"/>
    </i>
    <i>
      <x v="84"/>
    </i>
    <i t="grand">
      <x/>
    </i>
  </rowItems>
  <colItems count="1">
    <i/>
  </colItems>
  <dataFields count="1">
    <dataField name="Average of abs discount2" fld="4" subtotal="average" baseField="0" baseItem="0" numFmtId="1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43:B49" firstHeaderRow="1" firstDataRow="1" firstDataCol="1"/>
  <pivotFields count="12">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2" showAll="0"/>
    <pivotField numFmtId="10" showAll="0"/>
    <pivotField numFmtId="9" showAll="0"/>
    <pivotField showAll="0"/>
    <pivotField showAll="0"/>
    <pivotField showAll="0"/>
    <pivotField dataField="1" showAll="0"/>
    <pivotField showAll="0"/>
    <pivotField showAll="0">
      <items count="4">
        <item x="1"/>
        <item x="2"/>
        <item x="0"/>
        <item t="default"/>
      </items>
    </pivotField>
  </pivotFields>
  <rowFields count="1">
    <field x="0"/>
  </rowFields>
  <rowItems count="6">
    <i>
      <x v="30"/>
    </i>
    <i>
      <x v="35"/>
    </i>
    <i>
      <x v="41"/>
    </i>
    <i>
      <x v="58"/>
    </i>
    <i>
      <x v="104"/>
    </i>
    <i t="grand">
      <x/>
    </i>
  </rowItems>
  <colItems count="1">
    <i/>
  </colItems>
  <dataFields count="1">
    <dataField name="Average of abs rating" fld="9" subtotal="average"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0:B41" firstHeaderRow="1" firstDataRow="1" firstDataCol="1"/>
  <pivotFields count="12">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2" showAll="0"/>
    <pivotField numFmtId="10" showAll="0"/>
    <pivotField numFmtId="9" showAll="0"/>
    <pivotField showAll="0"/>
    <pivotField showAll="0"/>
    <pivotField showAll="0"/>
    <pivotField dataField="1" showAll="0"/>
    <pivotField showAll="0"/>
    <pivotField showAll="0">
      <items count="4">
        <item x="1"/>
        <item x="2"/>
        <item x="0"/>
        <item t="default"/>
      </items>
    </pivotField>
  </pivotFields>
  <rowFields count="1">
    <field x="0"/>
  </rowFields>
  <rowItems count="11">
    <i>
      <x v="22"/>
    </i>
    <i>
      <x v="40"/>
    </i>
    <i>
      <x v="44"/>
    </i>
    <i>
      <x v="52"/>
    </i>
    <i>
      <x v="57"/>
    </i>
    <i>
      <x v="65"/>
    </i>
    <i>
      <x v="68"/>
    </i>
    <i>
      <x v="70"/>
    </i>
    <i>
      <x v="87"/>
    </i>
    <i>
      <x v="90"/>
    </i>
    <i t="grand">
      <x/>
    </i>
  </rowItems>
  <colItems count="1">
    <i/>
  </colItems>
  <dataFields count="1">
    <dataField name="Average of abs rating" fld="9"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3:B28" firstHeaderRow="1" firstDataRow="1" firstDataCol="1"/>
  <pivotFields count="12">
    <pivotField showAll="0"/>
    <pivotField numFmtId="2" showAll="0"/>
    <pivotField numFmtId="2" showAll="0"/>
    <pivotField numFmtId="2" showAll="0"/>
    <pivotField numFmtId="10" showAll="0"/>
    <pivotField numFmtId="9" showAll="0"/>
    <pivotField showAll="0"/>
    <pivotField showAll="0"/>
    <pivotField showAll="0"/>
    <pivotField dataField="1" showAll="0"/>
    <pivotField axis="axisRow" showAll="0">
      <items count="5">
        <item x="2"/>
        <item x="1"/>
        <item x="0"/>
        <item x="3"/>
        <item t="default"/>
      </items>
    </pivotField>
    <pivotField showAll="0">
      <items count="4">
        <item x="1"/>
        <item x="2"/>
        <item x="0"/>
        <item t="default"/>
      </items>
    </pivotField>
  </pivotFields>
  <rowFields count="1">
    <field x="10"/>
  </rowFields>
  <rowItems count="5">
    <i>
      <x/>
    </i>
    <i>
      <x v="1"/>
    </i>
    <i>
      <x v="2"/>
    </i>
    <i>
      <x v="3"/>
    </i>
    <i t="grand">
      <x/>
    </i>
  </rowItems>
  <colItems count="1">
    <i/>
  </colItems>
  <dataFields count="1">
    <dataField name="Average of abs rating" fld="9"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5:B21" firstHeaderRow="1" firstDataRow="1" firstDataCol="1"/>
  <pivotFields count="12">
    <pivotField showAll="0"/>
    <pivotField showAll="0"/>
    <pivotField showAll="0"/>
    <pivotField showAll="0"/>
    <pivotField showAll="0"/>
    <pivotField showAll="0"/>
    <pivotField showAll="0"/>
    <pivotField showAll="0"/>
    <pivotField showAll="0"/>
    <pivotField dataField="1" showAll="0"/>
    <pivotField axis="axisRow" showAll="0">
      <items count="6">
        <item x="2"/>
        <item x="1"/>
        <item x="0"/>
        <item x="3"/>
        <item x="4"/>
        <item t="default"/>
      </items>
    </pivotField>
    <pivotField showAll="0"/>
  </pivotFields>
  <rowFields count="1">
    <field x="10"/>
  </rowFields>
  <rowItems count="6">
    <i>
      <x/>
    </i>
    <i>
      <x v="1"/>
    </i>
    <i>
      <x v="2"/>
    </i>
    <i>
      <x v="3"/>
    </i>
    <i>
      <x v="4"/>
    </i>
    <i t="grand">
      <x/>
    </i>
  </rowItems>
  <colItems count="1">
    <i/>
  </colItems>
  <dataFields count="1">
    <dataField name="Average of abs rating" fld="9" subtotal="average" baseField="1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8:B13" firstHeaderRow="1" firstDataRow="1" firstDataCol="1"/>
  <pivotFields count="12">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1"/>
        <item x="2"/>
        <item x="0"/>
        <item x="3"/>
        <item t="default"/>
      </items>
    </pivotField>
  </pivotFields>
  <rowFields count="1">
    <field x="11"/>
  </rowFields>
  <rowItems count="5">
    <i>
      <x/>
    </i>
    <i>
      <x v="1"/>
    </i>
    <i>
      <x v="2"/>
    </i>
    <i>
      <x v="3"/>
    </i>
    <i t="grand">
      <x/>
    </i>
  </rowItems>
  <colItems count="1">
    <i/>
  </colItems>
  <dataFields count="1">
    <dataField name="Average of abs discount %" fld="4" subtotal="average" baseField="11"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7" firstHeaderRow="1" firstDataRow="1" firstDataCol="1"/>
  <pivotFields count="12">
    <pivotField showAll="0"/>
    <pivotField numFmtId="2" showAll="0"/>
    <pivotField numFmtId="2" showAll="0"/>
    <pivotField numFmtId="2" showAll="0"/>
    <pivotField numFmtId="10" showAll="0"/>
    <pivotField numFmtId="9" showAll="0"/>
    <pivotField showAll="0"/>
    <pivotField showAll="0"/>
    <pivotField showAll="0"/>
    <pivotField showAll="0"/>
    <pivotField showAll="0"/>
    <pivotField axis="axisRow" showAll="0">
      <items count="4">
        <item x="1"/>
        <item x="2"/>
        <item x="0"/>
        <item t="default"/>
      </items>
    </pivotField>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2" name="PivotTable4"/>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_categoty" sourceName="Discount categoty">
  <pivotTables>
    <pivotTable tabId="2" name="PivotTable4"/>
    <pivotTable tabId="2" name="PivotTable1"/>
    <pivotTable tabId="2" name="PivotTable5"/>
    <pivotTable tabId="2" name="PivotTable6"/>
    <pivotTable tabId="2" name="PivotTable7"/>
    <pivotTable tabId="2" name="PivotTable8"/>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ting category" cache="Slicer_rating_category" caption="rating category" rowHeight="241300"/>
  <slicer name="Discount categoty" cache="Slicer_Discount_categoty" caption="Discount categot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ating category 1" cache="Slicer_rating_category" caption="rating category" rowHeight="241300"/>
  <slicer name="rating category 2" cache="Slicer_rating_category" caption="rating category" rowHeight="241300"/>
  <slicer name="Discount categoty 1" cache="Slicer_Discount_categoty" caption="Discount catego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7"/>
  <sheetViews>
    <sheetView topLeftCell="A12" workbookViewId="0">
      <selection activeCell="A25" sqref="A25"/>
    </sheetView>
  </sheetViews>
  <sheetFormatPr defaultRowHeight="15" x14ac:dyDescent="0.25"/>
  <cols>
    <col min="1" max="1" width="66" customWidth="1"/>
    <col min="2" max="2" width="20.85546875" customWidth="1"/>
    <col min="3" max="3" width="27.42578125" customWidth="1"/>
    <col min="4" max="13" width="6.140625" customWidth="1"/>
    <col min="14" max="106" width="7.140625" customWidth="1"/>
    <col min="107" max="107" width="11.28515625" bestFit="1" customWidth="1"/>
  </cols>
  <sheetData>
    <row r="3" spans="1:2" x14ac:dyDescent="0.25">
      <c r="A3" s="17" t="s">
        <v>154</v>
      </c>
    </row>
    <row r="4" spans="1:2" x14ac:dyDescent="0.25">
      <c r="A4" s="18" t="s">
        <v>155</v>
      </c>
    </row>
    <row r="5" spans="1:2" x14ac:dyDescent="0.25">
      <c r="A5" s="18" t="s">
        <v>156</v>
      </c>
    </row>
    <row r="6" spans="1:2" x14ac:dyDescent="0.25">
      <c r="A6" s="18" t="s">
        <v>152</v>
      </c>
    </row>
    <row r="7" spans="1:2" x14ac:dyDescent="0.25">
      <c r="A7" s="18" t="s">
        <v>157</v>
      </c>
    </row>
    <row r="8" spans="1:2" x14ac:dyDescent="0.25">
      <c r="A8" s="17" t="s">
        <v>154</v>
      </c>
      <c r="B8" t="s">
        <v>160</v>
      </c>
    </row>
    <row r="9" spans="1:2" x14ac:dyDescent="0.25">
      <c r="A9" s="18" t="s">
        <v>155</v>
      </c>
      <c r="B9" s="6">
        <v>0.48317809166416531</v>
      </c>
    </row>
    <row r="10" spans="1:2" x14ac:dyDescent="0.25">
      <c r="A10" s="18" t="s">
        <v>156</v>
      </c>
      <c r="B10" s="6">
        <v>7.227592305560436E-2</v>
      </c>
    </row>
    <row r="11" spans="1:2" x14ac:dyDescent="0.25">
      <c r="A11" s="18" t="s">
        <v>152</v>
      </c>
      <c r="B11" s="6">
        <v>0.30818155449324991</v>
      </c>
    </row>
    <row r="12" spans="1:2" x14ac:dyDescent="0.25">
      <c r="A12" s="18" t="s">
        <v>159</v>
      </c>
      <c r="B12" s="6">
        <v>0.36714123251752773</v>
      </c>
    </row>
    <row r="13" spans="1:2" x14ac:dyDescent="0.25">
      <c r="A13" s="18" t="s">
        <v>157</v>
      </c>
      <c r="B13" s="6">
        <v>0.36714123251752795</v>
      </c>
    </row>
    <row r="15" spans="1:2" x14ac:dyDescent="0.25">
      <c r="A15" s="17" t="s">
        <v>154</v>
      </c>
      <c r="B15" t="s">
        <v>161</v>
      </c>
    </row>
    <row r="16" spans="1:2" x14ac:dyDescent="0.25">
      <c r="A16" s="18"/>
      <c r="B16" s="19" t="e">
        <v>#DIV/0!</v>
      </c>
    </row>
    <row r="17" spans="1:2" x14ac:dyDescent="0.25">
      <c r="A17" s="18" t="s">
        <v>142</v>
      </c>
      <c r="B17" s="19">
        <v>3.5153846153846158</v>
      </c>
    </row>
    <row r="18" spans="1:2" x14ac:dyDescent="0.25">
      <c r="A18" s="18" t="s">
        <v>143</v>
      </c>
      <c r="B18" s="19">
        <v>4.6031250000000004</v>
      </c>
    </row>
    <row r="19" spans="1:2" x14ac:dyDescent="0.25">
      <c r="A19" s="18" t="s">
        <v>141</v>
      </c>
      <c r="B19" s="19">
        <v>2.3916666666666671</v>
      </c>
    </row>
    <row r="20" spans="1:2" x14ac:dyDescent="0.25">
      <c r="A20" s="18" t="s">
        <v>159</v>
      </c>
      <c r="B20" s="19">
        <v>3.8894736842105258</v>
      </c>
    </row>
    <row r="21" spans="1:2" x14ac:dyDescent="0.25">
      <c r="A21" s="18" t="s">
        <v>157</v>
      </c>
      <c r="B21" s="19">
        <v>3.8894736842105258</v>
      </c>
    </row>
    <row r="23" spans="1:2" x14ac:dyDescent="0.25">
      <c r="A23" s="17" t="s">
        <v>154</v>
      </c>
      <c r="B23" t="s">
        <v>161</v>
      </c>
    </row>
    <row r="24" spans="1:2" x14ac:dyDescent="0.25">
      <c r="A24" s="18"/>
      <c r="B24" s="19" t="e">
        <v>#DIV/0!</v>
      </c>
    </row>
    <row r="25" spans="1:2" x14ac:dyDescent="0.25">
      <c r="A25" s="18" t="s">
        <v>142</v>
      </c>
      <c r="B25" s="19">
        <v>3.5153846153846158</v>
      </c>
    </row>
    <row r="26" spans="1:2" x14ac:dyDescent="0.25">
      <c r="A26" s="18" t="s">
        <v>143</v>
      </c>
      <c r="B26" s="19">
        <v>4.6031250000000004</v>
      </c>
    </row>
    <row r="27" spans="1:2" x14ac:dyDescent="0.25">
      <c r="A27" s="18" t="s">
        <v>141</v>
      </c>
      <c r="B27" s="19">
        <v>2.3916666666666671</v>
      </c>
    </row>
    <row r="28" spans="1:2" x14ac:dyDescent="0.25">
      <c r="A28" s="18" t="s">
        <v>157</v>
      </c>
      <c r="B28" s="19">
        <v>3.8894736842105262</v>
      </c>
    </row>
    <row r="30" spans="1:2" x14ac:dyDescent="0.25">
      <c r="A30" s="17" t="s">
        <v>154</v>
      </c>
      <c r="B30" t="s">
        <v>161</v>
      </c>
    </row>
    <row r="31" spans="1:2" x14ac:dyDescent="0.25">
      <c r="A31" s="18" t="s">
        <v>24</v>
      </c>
      <c r="B31" s="19">
        <v>4.8</v>
      </c>
    </row>
    <row r="32" spans="1:2" x14ac:dyDescent="0.25">
      <c r="A32" s="18" t="s">
        <v>28</v>
      </c>
      <c r="B32" s="19">
        <v>5</v>
      </c>
    </row>
    <row r="33" spans="1:2" x14ac:dyDescent="0.25">
      <c r="A33" s="18" t="s">
        <v>103</v>
      </c>
      <c r="B33" s="19">
        <v>5</v>
      </c>
    </row>
    <row r="34" spans="1:2" x14ac:dyDescent="0.25">
      <c r="A34" s="18" t="s">
        <v>52</v>
      </c>
      <c r="B34" s="19">
        <v>5</v>
      </c>
    </row>
    <row r="35" spans="1:2" x14ac:dyDescent="0.25">
      <c r="A35" s="18" t="s">
        <v>51</v>
      </c>
      <c r="B35" s="19">
        <v>5</v>
      </c>
    </row>
    <row r="36" spans="1:2" x14ac:dyDescent="0.25">
      <c r="A36" s="18" t="s">
        <v>123</v>
      </c>
      <c r="B36" s="19">
        <v>5</v>
      </c>
    </row>
    <row r="37" spans="1:2" x14ac:dyDescent="0.25">
      <c r="A37" s="18" t="s">
        <v>31</v>
      </c>
      <c r="B37" s="19">
        <v>5</v>
      </c>
    </row>
    <row r="38" spans="1:2" x14ac:dyDescent="0.25">
      <c r="A38" s="18" t="s">
        <v>19</v>
      </c>
      <c r="B38" s="19">
        <v>4.8</v>
      </c>
    </row>
    <row r="39" spans="1:2" x14ac:dyDescent="0.25">
      <c r="A39" s="18" t="s">
        <v>30</v>
      </c>
      <c r="B39" s="19">
        <v>5</v>
      </c>
    </row>
    <row r="40" spans="1:2" x14ac:dyDescent="0.25">
      <c r="A40" s="18" t="s">
        <v>13</v>
      </c>
      <c r="B40" s="19">
        <v>4.8</v>
      </c>
    </row>
    <row r="41" spans="1:2" x14ac:dyDescent="0.25">
      <c r="A41" s="18" t="s">
        <v>157</v>
      </c>
      <c r="B41" s="19">
        <v>4.9399999999999995</v>
      </c>
    </row>
    <row r="43" spans="1:2" x14ac:dyDescent="0.25">
      <c r="A43" s="17" t="s">
        <v>154</v>
      </c>
      <c r="B43" t="s">
        <v>161</v>
      </c>
    </row>
    <row r="44" spans="1:2" x14ac:dyDescent="0.25">
      <c r="A44" s="18" t="s">
        <v>78</v>
      </c>
      <c r="B44" s="19">
        <v>2.1</v>
      </c>
    </row>
    <row r="45" spans="1:2" x14ac:dyDescent="0.25">
      <c r="A45" s="18" t="s">
        <v>96</v>
      </c>
      <c r="B45" s="19">
        <v>2.2000000000000002</v>
      </c>
    </row>
    <row r="46" spans="1:2" x14ac:dyDescent="0.25">
      <c r="A46" s="18" t="s">
        <v>86</v>
      </c>
      <c r="B46" s="19">
        <v>2.2000000000000002</v>
      </c>
    </row>
    <row r="47" spans="1:2" x14ac:dyDescent="0.25">
      <c r="A47" s="18" t="s">
        <v>97</v>
      </c>
      <c r="B47" s="19">
        <v>2.1</v>
      </c>
    </row>
    <row r="48" spans="1:2" x14ac:dyDescent="0.25">
      <c r="A48" s="18" t="s">
        <v>132</v>
      </c>
      <c r="B48" s="19">
        <v>2</v>
      </c>
    </row>
    <row r="49" spans="1:2" x14ac:dyDescent="0.25">
      <c r="A49" s="18" t="s">
        <v>157</v>
      </c>
      <c r="B49" s="19">
        <v>2.12</v>
      </c>
    </row>
    <row r="51" spans="1:2" x14ac:dyDescent="0.25">
      <c r="A51" s="17" t="s">
        <v>154</v>
      </c>
      <c r="B51" t="s">
        <v>162</v>
      </c>
    </row>
    <row r="52" spans="1:2" x14ac:dyDescent="0.25">
      <c r="A52" s="18" t="s">
        <v>34</v>
      </c>
      <c r="B52" s="6">
        <v>0.52500000000000002</v>
      </c>
    </row>
    <row r="53" spans="1:2" x14ac:dyDescent="0.25">
      <c r="A53" s="18" t="s">
        <v>78</v>
      </c>
      <c r="B53" s="6">
        <v>0.55000000000000004</v>
      </c>
    </row>
    <row r="54" spans="1:2" x14ac:dyDescent="0.25">
      <c r="A54" s="18" t="s">
        <v>131</v>
      </c>
      <c r="B54" s="6">
        <v>0.64014466546112114</v>
      </c>
    </row>
    <row r="55" spans="1:2" x14ac:dyDescent="0.25">
      <c r="A55" s="18" t="s">
        <v>52</v>
      </c>
      <c r="B55" s="6">
        <v>0.52500000000000002</v>
      </c>
    </row>
    <row r="56" spans="1:2" x14ac:dyDescent="0.25">
      <c r="A56" s="18" t="s">
        <v>64</v>
      </c>
      <c r="B56" s="6">
        <v>0.54750690131124913</v>
      </c>
    </row>
    <row r="57" spans="1:2" x14ac:dyDescent="0.25">
      <c r="A57" s="18" t="s">
        <v>46</v>
      </c>
      <c r="B57" s="6">
        <v>0.51570680628272247</v>
      </c>
    </row>
    <row r="58" spans="1:2" x14ac:dyDescent="0.25">
      <c r="A58" s="18" t="s">
        <v>82</v>
      </c>
      <c r="B58" s="6">
        <v>0.5220588235294118</v>
      </c>
    </row>
    <row r="59" spans="1:2" x14ac:dyDescent="0.25">
      <c r="A59" s="18" t="s">
        <v>40</v>
      </c>
      <c r="B59" s="6">
        <v>0.54488888888888887</v>
      </c>
    </row>
    <row r="60" spans="1:2" x14ac:dyDescent="0.25">
      <c r="A60" s="18" t="s">
        <v>19</v>
      </c>
      <c r="B60" s="6">
        <v>0.54500000000000004</v>
      </c>
    </row>
    <row r="61" spans="1:2" x14ac:dyDescent="0.25">
      <c r="A61" s="18" t="s">
        <v>76</v>
      </c>
      <c r="B61" s="6">
        <v>0.53549695740365111</v>
      </c>
    </row>
    <row r="62" spans="1:2" x14ac:dyDescent="0.25">
      <c r="A62" s="18" t="s">
        <v>157</v>
      </c>
      <c r="B62" s="6">
        <v>0.54530090401711762</v>
      </c>
    </row>
    <row r="64" spans="1:2" x14ac:dyDescent="0.25">
      <c r="A64" s="17" t="s">
        <v>154</v>
      </c>
      <c r="B64" t="s">
        <v>163</v>
      </c>
    </row>
    <row r="65" spans="1:3" x14ac:dyDescent="0.25">
      <c r="A65" s="18" t="s">
        <v>23</v>
      </c>
      <c r="B65" s="19">
        <v>39</v>
      </c>
    </row>
    <row r="66" spans="1:3" x14ac:dyDescent="0.25">
      <c r="A66" s="18" t="s">
        <v>80</v>
      </c>
      <c r="B66" s="19">
        <v>69</v>
      </c>
    </row>
    <row r="67" spans="1:3" x14ac:dyDescent="0.25">
      <c r="A67" s="18" t="s">
        <v>17</v>
      </c>
      <c r="B67" s="19">
        <v>55</v>
      </c>
    </row>
    <row r="68" spans="1:3" x14ac:dyDescent="0.25">
      <c r="A68" s="18" t="s">
        <v>33</v>
      </c>
      <c r="B68" s="19">
        <v>44</v>
      </c>
    </row>
    <row r="69" spans="1:3" x14ac:dyDescent="0.25">
      <c r="A69" s="18" t="s">
        <v>45</v>
      </c>
      <c r="B69" s="19">
        <v>20</v>
      </c>
    </row>
    <row r="70" spans="1:3" x14ac:dyDescent="0.25">
      <c r="A70" s="18" t="s">
        <v>50</v>
      </c>
      <c r="B70" s="19">
        <v>32</v>
      </c>
    </row>
    <row r="71" spans="1:3" x14ac:dyDescent="0.25">
      <c r="A71" s="18" t="s">
        <v>49</v>
      </c>
      <c r="B71" s="19">
        <v>20</v>
      </c>
    </row>
    <row r="72" spans="1:3" x14ac:dyDescent="0.25">
      <c r="A72" s="18" t="s">
        <v>42</v>
      </c>
      <c r="B72" s="19">
        <v>49</v>
      </c>
    </row>
    <row r="73" spans="1:3" x14ac:dyDescent="0.25">
      <c r="A73" s="18" t="s">
        <v>9</v>
      </c>
      <c r="B73" s="19">
        <v>24</v>
      </c>
    </row>
    <row r="74" spans="1:3" x14ac:dyDescent="0.25">
      <c r="A74" s="18" t="s">
        <v>53</v>
      </c>
      <c r="B74" s="19">
        <v>36</v>
      </c>
    </row>
    <row r="75" spans="1:3" x14ac:dyDescent="0.25">
      <c r="A75" s="18" t="s">
        <v>157</v>
      </c>
      <c r="B75" s="19">
        <v>38.799999999999997</v>
      </c>
    </row>
    <row r="77" spans="1:3" x14ac:dyDescent="0.25">
      <c r="A77" s="17" t="s">
        <v>154</v>
      </c>
      <c r="B77" t="s">
        <v>160</v>
      </c>
      <c r="C77" t="s">
        <v>168</v>
      </c>
    </row>
    <row r="78" spans="1:3" x14ac:dyDescent="0.25">
      <c r="A78" s="18" t="s">
        <v>34</v>
      </c>
      <c r="B78" s="6">
        <v>0.52500000000000002</v>
      </c>
      <c r="C78" s="4">
        <v>6.4862500000000001</v>
      </c>
    </row>
    <row r="79" spans="1:3" x14ac:dyDescent="0.25">
      <c r="A79" s="18" t="s">
        <v>78</v>
      </c>
      <c r="B79" s="6">
        <v>0.55000000000000004</v>
      </c>
      <c r="C79" s="4">
        <v>6.0725000000000007</v>
      </c>
    </row>
    <row r="80" spans="1:3" x14ac:dyDescent="0.25">
      <c r="A80" s="18" t="s">
        <v>131</v>
      </c>
      <c r="B80" s="6">
        <v>0.64014466546112114</v>
      </c>
      <c r="C80" s="4" t="e">
        <v>#DIV/0!</v>
      </c>
    </row>
    <row r="81" spans="1:3" x14ac:dyDescent="0.25">
      <c r="A81" s="18" t="s">
        <v>52</v>
      </c>
      <c r="B81" s="6">
        <v>0.52500000000000002</v>
      </c>
      <c r="C81" s="4">
        <v>2.6812499999999999</v>
      </c>
    </row>
    <row r="82" spans="1:3" x14ac:dyDescent="0.25">
      <c r="A82" s="18" t="s">
        <v>64</v>
      </c>
      <c r="B82" s="6">
        <v>0.54750690131124913</v>
      </c>
      <c r="C82" s="4" t="e">
        <v>#DIV/0!</v>
      </c>
    </row>
    <row r="83" spans="1:3" x14ac:dyDescent="0.25">
      <c r="A83" s="18" t="s">
        <v>46</v>
      </c>
      <c r="B83" s="6">
        <v>0.51570680628272247</v>
      </c>
      <c r="C83" s="4">
        <v>5.233926701570681</v>
      </c>
    </row>
    <row r="84" spans="1:3" x14ac:dyDescent="0.25">
      <c r="A84" s="18" t="s">
        <v>82</v>
      </c>
      <c r="B84" s="6">
        <v>0.5220588235294118</v>
      </c>
      <c r="C84" s="4">
        <v>7.0755147058823535</v>
      </c>
    </row>
    <row r="85" spans="1:3" x14ac:dyDescent="0.25">
      <c r="A85" s="18" t="s">
        <v>40</v>
      </c>
      <c r="B85" s="6">
        <v>0.54488888888888887</v>
      </c>
      <c r="C85" s="4">
        <v>4.4412222222222217</v>
      </c>
    </row>
    <row r="86" spans="1:3" x14ac:dyDescent="0.25">
      <c r="A86" s="18" t="s">
        <v>19</v>
      </c>
      <c r="B86" s="6">
        <v>0.54500000000000004</v>
      </c>
      <c r="C86" s="4">
        <v>3.8162499999999997</v>
      </c>
    </row>
    <row r="87" spans="1:3" x14ac:dyDescent="0.25">
      <c r="A87" s="18" t="s">
        <v>76</v>
      </c>
      <c r="B87" s="6">
        <v>0.53549695740365111</v>
      </c>
      <c r="C87" s="4">
        <v>5.1838742393509127</v>
      </c>
    </row>
    <row r="88" spans="1:3" x14ac:dyDescent="0.25">
      <c r="A88" s="18" t="s">
        <v>157</v>
      </c>
      <c r="B88" s="6">
        <v>0.54530090401711762</v>
      </c>
      <c r="C88" s="4">
        <v>5.1238484836282714</v>
      </c>
    </row>
    <row r="90" spans="1:3" x14ac:dyDescent="0.25">
      <c r="A90" s="8"/>
      <c r="B90" s="9"/>
      <c r="C90" s="10"/>
    </row>
    <row r="91" spans="1:3" x14ac:dyDescent="0.25">
      <c r="A91" s="11"/>
      <c r="B91" s="12"/>
      <c r="C91" s="13"/>
    </row>
    <row r="92" spans="1:3" x14ac:dyDescent="0.25">
      <c r="A92" s="11"/>
      <c r="B92" s="12"/>
      <c r="C92" s="13"/>
    </row>
    <row r="93" spans="1:3" x14ac:dyDescent="0.25">
      <c r="A93" s="11"/>
      <c r="B93" s="12"/>
      <c r="C93" s="13"/>
    </row>
    <row r="94" spans="1:3" x14ac:dyDescent="0.25">
      <c r="A94" s="11"/>
      <c r="B94" s="12"/>
      <c r="C94" s="13"/>
    </row>
    <row r="95" spans="1:3" x14ac:dyDescent="0.25">
      <c r="A95" s="11"/>
      <c r="B95" s="12"/>
      <c r="C95" s="13"/>
    </row>
    <row r="96" spans="1:3" x14ac:dyDescent="0.25">
      <c r="A96" s="11"/>
      <c r="B96" s="12"/>
      <c r="C96" s="13"/>
    </row>
    <row r="97" spans="1:3" x14ac:dyDescent="0.25">
      <c r="A97" s="11"/>
      <c r="B97" s="12"/>
      <c r="C97" s="13"/>
    </row>
    <row r="98" spans="1:3" x14ac:dyDescent="0.25">
      <c r="A98" s="11"/>
      <c r="B98" s="12"/>
      <c r="C98" s="13"/>
    </row>
    <row r="99" spans="1:3" x14ac:dyDescent="0.25">
      <c r="A99" s="11"/>
      <c r="B99" s="12"/>
      <c r="C99" s="13"/>
    </row>
    <row r="100" spans="1:3" x14ac:dyDescent="0.25">
      <c r="A100" s="11"/>
      <c r="B100" s="12"/>
      <c r="C100" s="13"/>
    </row>
    <row r="101" spans="1:3" x14ac:dyDescent="0.25">
      <c r="A101" s="11"/>
      <c r="B101" s="12"/>
      <c r="C101" s="13"/>
    </row>
    <row r="102" spans="1:3" x14ac:dyDescent="0.25">
      <c r="A102" s="11"/>
      <c r="B102" s="12"/>
      <c r="C102" s="13"/>
    </row>
    <row r="103" spans="1:3" x14ac:dyDescent="0.25">
      <c r="A103" s="11"/>
      <c r="B103" s="12"/>
      <c r="C103" s="13"/>
    </row>
    <row r="104" spans="1:3" x14ac:dyDescent="0.25">
      <c r="A104" s="11"/>
      <c r="B104" s="12"/>
      <c r="C104" s="13"/>
    </row>
    <row r="105" spans="1:3" x14ac:dyDescent="0.25">
      <c r="A105" s="11"/>
      <c r="B105" s="12"/>
      <c r="C105" s="13"/>
    </row>
    <row r="106" spans="1:3" x14ac:dyDescent="0.25">
      <c r="A106" s="11"/>
      <c r="B106" s="12"/>
      <c r="C106" s="13"/>
    </row>
    <row r="107" spans="1:3" x14ac:dyDescent="0.25">
      <c r="A107" s="14"/>
      <c r="B107" s="15"/>
      <c r="C107" s="16"/>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2"/>
  <sheetViews>
    <sheetView workbookViewId="0">
      <pane ySplit="1" topLeftCell="A5" activePane="bottomLeft" state="frozen"/>
      <selection pane="bottomLeft" activeCell="H122" sqref="H122"/>
    </sheetView>
  </sheetViews>
  <sheetFormatPr defaultRowHeight="15" x14ac:dyDescent="0.25"/>
  <cols>
    <col min="1" max="1" width="85.85546875" customWidth="1"/>
    <col min="2" max="2" width="26.85546875" style="4" customWidth="1"/>
    <col min="3" max="3" width="14.140625" style="4" customWidth="1"/>
    <col min="4" max="4" width="14.140625" customWidth="1"/>
    <col min="5" max="5" width="14.140625" style="6" customWidth="1"/>
    <col min="6" max="6" width="14.5703125" customWidth="1"/>
    <col min="7" max="8" width="13.28515625" customWidth="1"/>
    <col min="9" max="9" width="15.7109375" customWidth="1"/>
    <col min="10" max="10" width="13" customWidth="1"/>
    <col min="11" max="11" width="17.7109375" customWidth="1"/>
    <col min="12" max="13" width="19.28515625" customWidth="1"/>
    <col min="14" max="14" width="11.140625" customWidth="1"/>
  </cols>
  <sheetData>
    <row r="1" spans="1:15" s="2" customFormat="1" x14ac:dyDescent="0.25">
      <c r="A1" s="2" t="s">
        <v>0</v>
      </c>
      <c r="B1" s="3" t="s">
        <v>1</v>
      </c>
      <c r="C1" s="3" t="s">
        <v>2</v>
      </c>
      <c r="D1" s="2" t="s">
        <v>137</v>
      </c>
      <c r="E1" s="5" t="s">
        <v>158</v>
      </c>
      <c r="F1" s="2" t="s">
        <v>3</v>
      </c>
      <c r="G1" s="2" t="s">
        <v>4</v>
      </c>
      <c r="H1" s="2" t="s">
        <v>135</v>
      </c>
      <c r="I1" s="2" t="s">
        <v>139</v>
      </c>
      <c r="J1" s="2" t="s">
        <v>138</v>
      </c>
      <c r="K1" s="2" t="s">
        <v>140</v>
      </c>
      <c r="L1" s="2" t="s">
        <v>147</v>
      </c>
      <c r="M1" s="2" t="s">
        <v>164</v>
      </c>
    </row>
    <row r="2" spans="1:15" x14ac:dyDescent="0.25">
      <c r="A2" t="s">
        <v>5</v>
      </c>
      <c r="B2" s="4">
        <v>950</v>
      </c>
      <c r="C2" s="4">
        <v>1525</v>
      </c>
      <c r="D2" s="4">
        <f>C2-B2</f>
        <v>575</v>
      </c>
      <c r="E2" s="6">
        <f>D2/C2</f>
        <v>0.37704918032786883</v>
      </c>
      <c r="F2" s="1">
        <v>0.38</v>
      </c>
      <c r="G2">
        <v>-2</v>
      </c>
      <c r="H2">
        <f>IF(ISBLANK(G2),"",ABS(G2))</f>
        <v>2</v>
      </c>
      <c r="I2" t="s">
        <v>6</v>
      </c>
      <c r="J2">
        <f>IF(I2="","",VALUE(TRIM(LEFT(I2,(FIND(" ",I2))))))</f>
        <v>4.5</v>
      </c>
      <c r="K2" t="str">
        <f>IF(J2="","",IF(J2&lt;3,"POOR",IF(J2&gt;4,"EXCELLENT","AVERAGE")))</f>
        <v>EXCELLENT</v>
      </c>
      <c r="L2" t="str">
        <f>IF(E2="","",IF(E2&lt;20%,"LOW DISCOUNT",IF(E2&gt;40%,"HIGH DISCOUNT","MEDIUM")))</f>
        <v>MEDIUM</v>
      </c>
      <c r="M2" s="4">
        <f>IF(J2="","",(J2*$O$21)+(H2*$O$22)+(E2*$O$23))</f>
        <v>2.4692622950819674</v>
      </c>
    </row>
    <row r="3" spans="1:15" x14ac:dyDescent="0.25">
      <c r="A3" t="s">
        <v>7</v>
      </c>
      <c r="B3" s="4">
        <v>527</v>
      </c>
      <c r="C3" s="4">
        <v>999</v>
      </c>
      <c r="D3" s="4">
        <f>C3-B3</f>
        <v>472</v>
      </c>
      <c r="E3" s="6">
        <f>D3/C3</f>
        <v>0.47247247247247248</v>
      </c>
      <c r="F3" s="1">
        <v>0.47</v>
      </c>
      <c r="G3">
        <v>-14</v>
      </c>
      <c r="H3">
        <f>IF(ISBLANK(G3),"",ABS(G3))</f>
        <v>14</v>
      </c>
      <c r="I3" t="s">
        <v>8</v>
      </c>
      <c r="J3">
        <f t="shared" ref="J3:J66" si="0">IF(I3="","",VALUE(TRIM(LEFT(I3,(FIND(" ",I3))))))</f>
        <v>4.0999999999999996</v>
      </c>
      <c r="K3" t="str">
        <f t="shared" ref="K3:K66" si="1">IF(J3="","",IF(J3&lt;3,"POOR",IF(J3&gt;4,"EXCELLENT","AVERAGE")))</f>
        <v>EXCELLENT</v>
      </c>
      <c r="L3" t="str">
        <f t="shared" ref="L3:L66" si="2">IF(E3="","",IF(E3&lt;20%,"LOW DISCOUNT",IF(E3&gt;40%,"HIGH DISCOUNT","MEDIUM")))</f>
        <v>HIGH DISCOUNT</v>
      </c>
      <c r="M3" s="4">
        <f t="shared" ref="M3:M66" si="3">IF(J3="","",(J3*$O$21)+(H3*$O$22)+(E3*$O$23))</f>
        <v>7.153118118118118</v>
      </c>
    </row>
    <row r="4" spans="1:15" x14ac:dyDescent="0.25">
      <c r="A4" t="s">
        <v>9</v>
      </c>
      <c r="B4" s="4">
        <v>2199</v>
      </c>
      <c r="C4" s="4">
        <v>2923</v>
      </c>
      <c r="D4" s="4">
        <f>C4-B4</f>
        <v>724</v>
      </c>
      <c r="E4" s="6">
        <f>D4/C4</f>
        <v>0.24769072870338693</v>
      </c>
      <c r="F4" s="1">
        <v>0.25</v>
      </c>
      <c r="G4">
        <v>-24</v>
      </c>
      <c r="H4">
        <f>IF(ISBLANK(G4),"",ABS(G4))</f>
        <v>24</v>
      </c>
      <c r="I4" t="s">
        <v>10</v>
      </c>
      <c r="J4">
        <f t="shared" si="0"/>
        <v>4.5999999999999996</v>
      </c>
      <c r="K4" t="str">
        <f t="shared" si="1"/>
        <v>EXCELLENT</v>
      </c>
      <c r="L4" t="str">
        <f t="shared" si="2"/>
        <v>MEDIUM</v>
      </c>
      <c r="M4" s="4">
        <f t="shared" si="3"/>
        <v>11.271922682175848</v>
      </c>
    </row>
    <row r="5" spans="1:15" x14ac:dyDescent="0.25">
      <c r="A5" t="s">
        <v>11</v>
      </c>
      <c r="B5" s="4">
        <v>1580</v>
      </c>
      <c r="C5" s="4">
        <v>2499</v>
      </c>
      <c r="D5" s="4">
        <f>C5-B5</f>
        <v>919</v>
      </c>
      <c r="E5" s="6">
        <f>D5/C5</f>
        <v>0.36774709883953582</v>
      </c>
      <c r="F5" s="1">
        <v>0.37</v>
      </c>
      <c r="G5">
        <v>-7</v>
      </c>
      <c r="H5">
        <f>IF(ISBLANK(G5),"",ABS(G5))</f>
        <v>7</v>
      </c>
      <c r="I5" t="s">
        <v>12</v>
      </c>
      <c r="J5">
        <f t="shared" si="0"/>
        <v>4.7</v>
      </c>
      <c r="K5" t="str">
        <f t="shared" si="1"/>
        <v>EXCELLENT</v>
      </c>
      <c r="L5" t="str">
        <f t="shared" si="2"/>
        <v>MEDIUM</v>
      </c>
      <c r="M5" s="4">
        <f t="shared" si="3"/>
        <v>4.5369367747098845</v>
      </c>
    </row>
    <row r="6" spans="1:15" x14ac:dyDescent="0.25">
      <c r="A6" t="s">
        <v>13</v>
      </c>
      <c r="B6" s="4">
        <v>1740</v>
      </c>
      <c r="C6" s="4">
        <v>2356</v>
      </c>
      <c r="D6" s="4">
        <f>C6-B6</f>
        <v>616</v>
      </c>
      <c r="E6" s="6">
        <f>D6/C6</f>
        <v>0.26146010186757218</v>
      </c>
      <c r="F6" s="1">
        <v>0.26</v>
      </c>
      <c r="G6">
        <v>-5</v>
      </c>
      <c r="H6">
        <f>IF(ISBLANK(G6),"",ABS(G6))</f>
        <v>5</v>
      </c>
      <c r="I6" t="s">
        <v>14</v>
      </c>
      <c r="J6">
        <f t="shared" si="0"/>
        <v>4.8</v>
      </c>
      <c r="K6" t="str">
        <f t="shared" si="1"/>
        <v>EXCELLENT</v>
      </c>
      <c r="L6" t="str">
        <f t="shared" si="2"/>
        <v>MEDIUM</v>
      </c>
      <c r="M6" s="4">
        <f t="shared" si="3"/>
        <v>3.7453650254668927</v>
      </c>
    </row>
    <row r="7" spans="1:15" x14ac:dyDescent="0.25">
      <c r="A7" t="s">
        <v>15</v>
      </c>
      <c r="B7" s="4">
        <v>2999</v>
      </c>
      <c r="C7" s="4">
        <v>3290</v>
      </c>
      <c r="D7" s="4">
        <f>C7-B7</f>
        <v>291</v>
      </c>
      <c r="E7" s="6">
        <f>D7/C7</f>
        <v>8.8449848024316116E-2</v>
      </c>
      <c r="F7" s="1">
        <v>0.09</v>
      </c>
      <c r="G7">
        <v>-15</v>
      </c>
      <c r="H7">
        <f>IF(ISBLANK(G7),"",ABS(G7))</f>
        <v>15</v>
      </c>
      <c r="I7" t="s">
        <v>16</v>
      </c>
      <c r="J7">
        <f t="shared" si="0"/>
        <v>4</v>
      </c>
      <c r="K7" t="str">
        <f t="shared" si="1"/>
        <v>AVERAGE</v>
      </c>
      <c r="L7" t="str">
        <f t="shared" si="2"/>
        <v>LOW DISCOUNT</v>
      </c>
      <c r="M7" s="4">
        <f t="shared" si="3"/>
        <v>7.422112462006079</v>
      </c>
    </row>
    <row r="8" spans="1:15" x14ac:dyDescent="0.25">
      <c r="A8" t="s">
        <v>17</v>
      </c>
      <c r="B8" s="4">
        <v>2319</v>
      </c>
      <c r="C8" s="4">
        <v>3032</v>
      </c>
      <c r="D8" s="4">
        <f>C8-B8</f>
        <v>713</v>
      </c>
      <c r="E8" s="6">
        <f>D8/C8</f>
        <v>0.23515831134564644</v>
      </c>
      <c r="F8" s="1">
        <v>0.24</v>
      </c>
      <c r="G8">
        <v>-55</v>
      </c>
      <c r="H8">
        <f>IF(ISBLANK(G8),"",ABS(G8))</f>
        <v>55</v>
      </c>
      <c r="I8" t="s">
        <v>10</v>
      </c>
      <c r="J8">
        <f t="shared" si="0"/>
        <v>4.5999999999999996</v>
      </c>
      <c r="K8" t="str">
        <f t="shared" si="1"/>
        <v>EXCELLENT</v>
      </c>
      <c r="L8" t="str">
        <f t="shared" si="2"/>
        <v>MEDIUM</v>
      </c>
      <c r="M8" s="4">
        <f t="shared" si="3"/>
        <v>23.66878957783641</v>
      </c>
    </row>
    <row r="9" spans="1:15" x14ac:dyDescent="0.25">
      <c r="A9" t="s">
        <v>18</v>
      </c>
      <c r="B9" s="4">
        <v>988</v>
      </c>
      <c r="C9" s="4">
        <v>1580</v>
      </c>
      <c r="D9" s="4">
        <f>C9-B9</f>
        <v>592</v>
      </c>
      <c r="E9" s="6">
        <f>D9/C9</f>
        <v>0.37468354430379747</v>
      </c>
      <c r="F9" s="1">
        <v>0.37</v>
      </c>
      <c r="G9">
        <v>-2</v>
      </c>
      <c r="H9">
        <f>IF(ISBLANK(G9),"",ABS(G9))</f>
        <v>2</v>
      </c>
      <c r="I9" t="s">
        <v>16</v>
      </c>
      <c r="J9">
        <f t="shared" si="0"/>
        <v>4</v>
      </c>
      <c r="K9" t="str">
        <f t="shared" si="1"/>
        <v>AVERAGE</v>
      </c>
      <c r="L9" t="str">
        <f t="shared" si="2"/>
        <v>MEDIUM</v>
      </c>
      <c r="M9" s="4">
        <f t="shared" si="3"/>
        <v>2.2936708860759496</v>
      </c>
    </row>
    <row r="10" spans="1:15" x14ac:dyDescent="0.25">
      <c r="A10" t="s">
        <v>19</v>
      </c>
      <c r="B10" s="4">
        <v>1274</v>
      </c>
      <c r="C10" s="4">
        <v>2800</v>
      </c>
      <c r="D10" s="4">
        <f>C10-B10</f>
        <v>1526</v>
      </c>
      <c r="E10" s="6">
        <f>D10/C10</f>
        <v>0.54500000000000004</v>
      </c>
      <c r="F10" s="1">
        <v>0.55000000000000004</v>
      </c>
      <c r="G10">
        <v>-5</v>
      </c>
      <c r="H10">
        <f>IF(ISBLANK(G10),"",ABS(G10))</f>
        <v>5</v>
      </c>
      <c r="I10" t="s">
        <v>14</v>
      </c>
      <c r="J10">
        <f t="shared" si="0"/>
        <v>4.8</v>
      </c>
      <c r="K10" t="str">
        <f t="shared" si="1"/>
        <v>EXCELLENT</v>
      </c>
      <c r="L10" t="str">
        <f t="shared" si="2"/>
        <v>HIGH DISCOUNT</v>
      </c>
      <c r="M10" s="4">
        <f t="shared" si="3"/>
        <v>3.8162499999999997</v>
      </c>
    </row>
    <row r="11" spans="1:15" x14ac:dyDescent="0.25">
      <c r="A11" t="s">
        <v>20</v>
      </c>
      <c r="B11" s="4">
        <v>1600</v>
      </c>
      <c r="C11" s="4">
        <v>2929</v>
      </c>
      <c r="D11" s="4">
        <f>C11-B11</f>
        <v>1329</v>
      </c>
      <c r="E11" s="6">
        <f>D11/C11</f>
        <v>0.45373847729600547</v>
      </c>
      <c r="F11" s="1">
        <v>0.45</v>
      </c>
      <c r="G11">
        <v>-5</v>
      </c>
      <c r="H11">
        <f>IF(ISBLANK(G11),"",ABS(G11))</f>
        <v>5</v>
      </c>
      <c r="I11" t="s">
        <v>21</v>
      </c>
      <c r="J11">
        <f t="shared" si="0"/>
        <v>3.8</v>
      </c>
      <c r="K11" t="str">
        <f t="shared" si="1"/>
        <v>AVERAGE</v>
      </c>
      <c r="L11" t="str">
        <f t="shared" si="2"/>
        <v>HIGH DISCOUNT</v>
      </c>
      <c r="M11" s="4">
        <f t="shared" si="3"/>
        <v>3.4434346193240013</v>
      </c>
      <c r="N11" t="s">
        <v>141</v>
      </c>
      <c r="O11" t="s">
        <v>144</v>
      </c>
    </row>
    <row r="12" spans="1:15" x14ac:dyDescent="0.25">
      <c r="A12" t="s">
        <v>22</v>
      </c>
      <c r="B12" s="4">
        <v>799</v>
      </c>
      <c r="C12" s="4">
        <v>999</v>
      </c>
      <c r="D12" s="4">
        <f>C12-B12</f>
        <v>200</v>
      </c>
      <c r="E12" s="6">
        <f>D12/C12</f>
        <v>0.20020020020020021</v>
      </c>
      <c r="F12" s="1">
        <v>0.2</v>
      </c>
      <c r="G12">
        <v>-12</v>
      </c>
      <c r="H12">
        <f>IF(ISBLANK(G12),"",ABS(G12))</f>
        <v>12</v>
      </c>
      <c r="I12" t="s">
        <v>8</v>
      </c>
      <c r="J12">
        <f t="shared" si="0"/>
        <v>4.0999999999999996</v>
      </c>
      <c r="K12" t="str">
        <f t="shared" si="1"/>
        <v>EXCELLENT</v>
      </c>
      <c r="L12" t="str">
        <f t="shared" si="2"/>
        <v>MEDIUM</v>
      </c>
      <c r="M12" s="4">
        <f t="shared" si="3"/>
        <v>6.2850500500500504</v>
      </c>
      <c r="N12" t="s">
        <v>142</v>
      </c>
      <c r="O12" s="7" t="s">
        <v>145</v>
      </c>
    </row>
    <row r="13" spans="1:15" x14ac:dyDescent="0.25">
      <c r="A13" t="s">
        <v>23</v>
      </c>
      <c r="B13" s="4">
        <v>990</v>
      </c>
      <c r="C13" s="4">
        <v>1500</v>
      </c>
      <c r="D13" s="4">
        <f>C13-B13</f>
        <v>510</v>
      </c>
      <c r="E13" s="6">
        <f>D13/C13</f>
        <v>0.34</v>
      </c>
      <c r="F13" s="1">
        <v>0.34</v>
      </c>
      <c r="G13">
        <v>-39</v>
      </c>
      <c r="H13">
        <f>IF(ISBLANK(G13),"",ABS(G13))</f>
        <v>39</v>
      </c>
      <c r="I13" t="s">
        <v>12</v>
      </c>
      <c r="J13">
        <f t="shared" si="0"/>
        <v>4.7</v>
      </c>
      <c r="K13" t="str">
        <f t="shared" si="1"/>
        <v>EXCELLENT</v>
      </c>
      <c r="L13" t="str">
        <f t="shared" si="2"/>
        <v>MEDIUM</v>
      </c>
      <c r="M13" s="4">
        <f t="shared" si="3"/>
        <v>17.330000000000002</v>
      </c>
      <c r="N13" t="s">
        <v>143</v>
      </c>
      <c r="O13" t="s">
        <v>146</v>
      </c>
    </row>
    <row r="14" spans="1:15" x14ac:dyDescent="0.25">
      <c r="A14" t="s">
        <v>24</v>
      </c>
      <c r="B14" s="4">
        <v>552</v>
      </c>
      <c r="C14" s="4">
        <v>1035</v>
      </c>
      <c r="D14" s="4">
        <f>C14-B14</f>
        <v>483</v>
      </c>
      <c r="E14" s="6">
        <f>D14/C14</f>
        <v>0.46666666666666667</v>
      </c>
      <c r="F14" s="1">
        <v>0.47</v>
      </c>
      <c r="G14">
        <v>-12</v>
      </c>
      <c r="H14">
        <f>IF(ISBLANK(G14),"",ABS(G14))</f>
        <v>12</v>
      </c>
      <c r="I14" t="s">
        <v>14</v>
      </c>
      <c r="J14">
        <f t="shared" si="0"/>
        <v>4.8</v>
      </c>
      <c r="K14" t="str">
        <f t="shared" si="1"/>
        <v>EXCELLENT</v>
      </c>
      <c r="L14" t="str">
        <f t="shared" si="2"/>
        <v>HIGH DISCOUNT</v>
      </c>
      <c r="M14" s="4">
        <f t="shared" si="3"/>
        <v>6.5966666666666667</v>
      </c>
    </row>
    <row r="15" spans="1:15" x14ac:dyDescent="0.25">
      <c r="A15" t="s">
        <v>25</v>
      </c>
      <c r="B15" s="4">
        <v>501</v>
      </c>
      <c r="C15" s="4">
        <v>860</v>
      </c>
      <c r="D15" s="4">
        <f>C15-B15</f>
        <v>359</v>
      </c>
      <c r="E15" s="6">
        <f>D15/C15</f>
        <v>0.41744186046511628</v>
      </c>
      <c r="F15" s="1">
        <v>0.42</v>
      </c>
      <c r="G15">
        <v>-6</v>
      </c>
      <c r="H15">
        <f>IF(ISBLANK(G15),"",ABS(G15))</f>
        <v>6</v>
      </c>
      <c r="I15" t="s">
        <v>6</v>
      </c>
      <c r="J15">
        <f t="shared" si="0"/>
        <v>4.5</v>
      </c>
      <c r="K15" t="str">
        <f t="shared" si="1"/>
        <v>EXCELLENT</v>
      </c>
      <c r="L15" t="str">
        <f t="shared" si="2"/>
        <v>HIGH DISCOUNT</v>
      </c>
      <c r="M15" s="4">
        <f t="shared" si="3"/>
        <v>4.07936046511628</v>
      </c>
    </row>
    <row r="16" spans="1:15" x14ac:dyDescent="0.25">
      <c r="A16" t="s">
        <v>26</v>
      </c>
      <c r="B16" s="4">
        <v>1680</v>
      </c>
      <c r="C16" s="4">
        <v>2499</v>
      </c>
      <c r="D16" s="4">
        <f>C16-B16</f>
        <v>819</v>
      </c>
      <c r="E16" s="6">
        <f>D16/C16</f>
        <v>0.32773109243697479</v>
      </c>
      <c r="F16" s="1">
        <v>0.33</v>
      </c>
      <c r="G16">
        <v>-9</v>
      </c>
      <c r="H16">
        <f>IF(ISBLANK(G16),"",ABS(G16))</f>
        <v>9</v>
      </c>
      <c r="I16" t="s">
        <v>27</v>
      </c>
      <c r="J16">
        <f t="shared" si="0"/>
        <v>4.2</v>
      </c>
      <c r="K16" t="str">
        <f t="shared" si="1"/>
        <v>EXCELLENT</v>
      </c>
      <c r="L16" t="str">
        <f t="shared" si="2"/>
        <v>MEDIUM</v>
      </c>
      <c r="M16" s="4">
        <f t="shared" si="3"/>
        <v>5.1519327731092437</v>
      </c>
      <c r="N16" t="s">
        <v>151</v>
      </c>
      <c r="O16" s="6">
        <f>AVERAGEIF(L2:L113,$L$3,E2:E113)</f>
        <v>0.48317809166416531</v>
      </c>
    </row>
    <row r="17" spans="1:15" x14ac:dyDescent="0.25">
      <c r="A17" t="s">
        <v>28</v>
      </c>
      <c r="B17" s="4">
        <v>332</v>
      </c>
      <c r="C17" s="4">
        <v>684</v>
      </c>
      <c r="D17" s="4">
        <f>C17-B17</f>
        <v>352</v>
      </c>
      <c r="E17" s="6">
        <f>D17/C17</f>
        <v>0.51461988304093564</v>
      </c>
      <c r="F17" s="1">
        <v>0.51</v>
      </c>
      <c r="G17">
        <v>-2</v>
      </c>
      <c r="H17">
        <f>IF(ISBLANK(G17),"",ABS(G17))</f>
        <v>2</v>
      </c>
      <c r="I17" t="s">
        <v>29</v>
      </c>
      <c r="J17">
        <f t="shared" si="0"/>
        <v>5</v>
      </c>
      <c r="K17" t="str">
        <f t="shared" si="1"/>
        <v>EXCELLENT</v>
      </c>
      <c r="L17" t="str">
        <f t="shared" si="2"/>
        <v>HIGH DISCOUNT</v>
      </c>
      <c r="M17" s="4">
        <f t="shared" si="3"/>
        <v>2.6786549707602338</v>
      </c>
      <c r="N17" t="s">
        <v>152</v>
      </c>
      <c r="O17" s="6">
        <f>AVERAGEIF(L2:L113,$L$2,E2:E113)</f>
        <v>0.30818155449324991</v>
      </c>
    </row>
    <row r="18" spans="1:15" x14ac:dyDescent="0.25">
      <c r="A18" t="s">
        <v>30</v>
      </c>
      <c r="B18" s="4">
        <v>195</v>
      </c>
      <c r="C18" s="4">
        <v>360</v>
      </c>
      <c r="D18" s="4">
        <f>C18-B18</f>
        <v>165</v>
      </c>
      <c r="E18" s="6">
        <f>D18/C18</f>
        <v>0.45833333333333331</v>
      </c>
      <c r="F18" s="1">
        <v>0.46</v>
      </c>
      <c r="G18">
        <v>-2</v>
      </c>
      <c r="H18">
        <f>IF(ISBLANK(G18),"",ABS(G18))</f>
        <v>2</v>
      </c>
      <c r="I18" t="s">
        <v>29</v>
      </c>
      <c r="J18">
        <f t="shared" si="0"/>
        <v>5</v>
      </c>
      <c r="K18" t="str">
        <f t="shared" si="1"/>
        <v>EXCELLENT</v>
      </c>
      <c r="L18" t="str">
        <f t="shared" si="2"/>
        <v>HIGH DISCOUNT</v>
      </c>
      <c r="M18" s="4">
        <f t="shared" si="3"/>
        <v>2.6645833333333333</v>
      </c>
      <c r="N18" t="s">
        <v>153</v>
      </c>
      <c r="O18" s="6">
        <f>AVERAGEIF(L2:L113,$L$7,E2:E113)</f>
        <v>7.227592305560436E-2</v>
      </c>
    </row>
    <row r="19" spans="1:15" x14ac:dyDescent="0.25">
      <c r="A19" t="s">
        <v>31</v>
      </c>
      <c r="B19" s="4">
        <v>2025</v>
      </c>
      <c r="C19" s="4">
        <v>3971</v>
      </c>
      <c r="D19" s="4">
        <f>C19-B19</f>
        <v>1946</v>
      </c>
      <c r="E19" s="6">
        <f>D19/C19</f>
        <v>0.49005288340468395</v>
      </c>
      <c r="F19" s="1">
        <v>0.49</v>
      </c>
      <c r="G19">
        <v>-3</v>
      </c>
      <c r="H19">
        <f>IF(ISBLANK(G19),"",ABS(G19))</f>
        <v>3</v>
      </c>
      <c r="I19" t="s">
        <v>29</v>
      </c>
      <c r="J19">
        <f t="shared" si="0"/>
        <v>5</v>
      </c>
      <c r="K19" t="str">
        <f t="shared" si="1"/>
        <v>EXCELLENT</v>
      </c>
      <c r="L19" t="str">
        <f t="shared" si="2"/>
        <v>HIGH DISCOUNT</v>
      </c>
      <c r="M19" s="4">
        <f t="shared" si="3"/>
        <v>3.072513220851171</v>
      </c>
    </row>
    <row r="20" spans="1:15" x14ac:dyDescent="0.25">
      <c r="A20" t="s">
        <v>32</v>
      </c>
      <c r="B20" s="4">
        <v>2999</v>
      </c>
      <c r="C20" s="4">
        <v>3699</v>
      </c>
      <c r="D20" s="4">
        <f>C20-B20</f>
        <v>700</v>
      </c>
      <c r="E20" s="6">
        <f>D20/C20</f>
        <v>0.18924033522573669</v>
      </c>
      <c r="F20" s="1">
        <v>0.19</v>
      </c>
      <c r="G20">
        <v>-5</v>
      </c>
      <c r="H20">
        <f>IF(ISBLANK(G20),"",ABS(G20))</f>
        <v>5</v>
      </c>
      <c r="I20" t="s">
        <v>10</v>
      </c>
      <c r="J20">
        <f t="shared" si="0"/>
        <v>4.5999999999999996</v>
      </c>
      <c r="K20" t="str">
        <f t="shared" si="1"/>
        <v>EXCELLENT</v>
      </c>
      <c r="L20" t="str">
        <f t="shared" si="2"/>
        <v>LOW DISCOUNT</v>
      </c>
      <c r="M20" s="4">
        <f t="shared" si="3"/>
        <v>3.6573100838064341</v>
      </c>
    </row>
    <row r="21" spans="1:15" x14ac:dyDescent="0.25">
      <c r="A21" t="s">
        <v>33</v>
      </c>
      <c r="B21" s="4">
        <v>998</v>
      </c>
      <c r="C21" s="4">
        <v>1966</v>
      </c>
      <c r="D21" s="4">
        <f>C21-B21</f>
        <v>968</v>
      </c>
      <c r="E21" s="6">
        <f>D21/C21</f>
        <v>0.49237029501525942</v>
      </c>
      <c r="F21" s="1">
        <v>0.49</v>
      </c>
      <c r="G21">
        <v>-44</v>
      </c>
      <c r="H21">
        <f>IF(ISBLANK(G21),"",ABS(G21))</f>
        <v>44</v>
      </c>
      <c r="I21" t="s">
        <v>10</v>
      </c>
      <c r="J21">
        <f t="shared" si="0"/>
        <v>4.5999999999999996</v>
      </c>
      <c r="K21" t="str">
        <f t="shared" si="1"/>
        <v>EXCELLENT</v>
      </c>
      <c r="L21" t="str">
        <f t="shared" si="2"/>
        <v>HIGH DISCOUNT</v>
      </c>
      <c r="M21" s="4">
        <f t="shared" si="3"/>
        <v>19.333092573753817</v>
      </c>
      <c r="N21" t="s">
        <v>165</v>
      </c>
      <c r="O21">
        <v>0.35</v>
      </c>
    </row>
    <row r="22" spans="1:15" x14ac:dyDescent="0.25">
      <c r="A22" t="s">
        <v>34</v>
      </c>
      <c r="B22" s="4">
        <v>38</v>
      </c>
      <c r="C22" s="4">
        <v>80</v>
      </c>
      <c r="D22" s="4">
        <f>C22-B22</f>
        <v>42</v>
      </c>
      <c r="E22" s="6">
        <f>D22/C22</f>
        <v>0.52500000000000002</v>
      </c>
      <c r="F22" s="1">
        <v>0.53</v>
      </c>
      <c r="G22">
        <v>-13</v>
      </c>
      <c r="H22">
        <f>IF(ISBLANK(G22),"",ABS(G22))</f>
        <v>13</v>
      </c>
      <c r="I22" t="s">
        <v>35</v>
      </c>
      <c r="J22">
        <f t="shared" si="0"/>
        <v>3.3</v>
      </c>
      <c r="K22" t="str">
        <f t="shared" si="1"/>
        <v>AVERAGE</v>
      </c>
      <c r="L22" t="str">
        <f t="shared" si="2"/>
        <v>HIGH DISCOUNT</v>
      </c>
      <c r="M22" s="4">
        <f t="shared" si="3"/>
        <v>6.4862500000000001</v>
      </c>
      <c r="N22" t="s">
        <v>166</v>
      </c>
      <c r="O22">
        <v>0.4</v>
      </c>
    </row>
    <row r="23" spans="1:15" x14ac:dyDescent="0.25">
      <c r="A23" t="s">
        <v>36</v>
      </c>
      <c r="B23" s="4">
        <v>1860</v>
      </c>
      <c r="C23" s="4">
        <v>3220</v>
      </c>
      <c r="D23" s="4">
        <f>C23-B23</f>
        <v>1360</v>
      </c>
      <c r="E23" s="6">
        <f>D23/C23</f>
        <v>0.42236024844720499</v>
      </c>
      <c r="F23" s="1">
        <v>0.42</v>
      </c>
      <c r="H23" t="str">
        <f>IF(ISBLANK(G23),"",ABS(G23))</f>
        <v/>
      </c>
      <c r="J23" t="str">
        <f t="shared" si="0"/>
        <v/>
      </c>
      <c r="K23" t="str">
        <f t="shared" si="1"/>
        <v/>
      </c>
      <c r="L23" t="str">
        <f t="shared" si="2"/>
        <v>HIGH DISCOUNT</v>
      </c>
      <c r="M23" s="4" t="str">
        <f t="shared" si="3"/>
        <v/>
      </c>
      <c r="N23" t="s">
        <v>167</v>
      </c>
      <c r="O23">
        <v>0.25</v>
      </c>
    </row>
    <row r="24" spans="1:15" x14ac:dyDescent="0.25">
      <c r="A24" t="s">
        <v>37</v>
      </c>
      <c r="B24" s="4">
        <v>880</v>
      </c>
      <c r="C24" s="4">
        <v>1350</v>
      </c>
      <c r="D24" s="4">
        <f>C24-B24</f>
        <v>470</v>
      </c>
      <c r="E24" s="6">
        <f>D24/C24</f>
        <v>0.34814814814814815</v>
      </c>
      <c r="F24" s="1">
        <v>0.35</v>
      </c>
      <c r="G24">
        <v>-6</v>
      </c>
      <c r="H24">
        <f>IF(ISBLANK(G24),"",ABS(G24))</f>
        <v>6</v>
      </c>
      <c r="I24" t="s">
        <v>16</v>
      </c>
      <c r="J24">
        <f t="shared" si="0"/>
        <v>4</v>
      </c>
      <c r="K24" t="str">
        <f t="shared" si="1"/>
        <v>AVERAGE</v>
      </c>
      <c r="L24" t="str">
        <f t="shared" si="2"/>
        <v>MEDIUM</v>
      </c>
      <c r="M24" s="4">
        <f t="shared" si="3"/>
        <v>3.8870370370370373</v>
      </c>
    </row>
    <row r="25" spans="1:15" x14ac:dyDescent="0.25">
      <c r="A25" t="s">
        <v>38</v>
      </c>
      <c r="B25" s="4">
        <v>1650</v>
      </c>
      <c r="C25" s="4">
        <v>2150</v>
      </c>
      <c r="D25" s="4">
        <f>C25-B25</f>
        <v>500</v>
      </c>
      <c r="E25" s="6">
        <f>D25/C25</f>
        <v>0.23255813953488372</v>
      </c>
      <c r="F25" s="1">
        <v>0.23</v>
      </c>
      <c r="G25">
        <v>-14</v>
      </c>
      <c r="H25">
        <f>IF(ISBLANK(G25),"",ABS(G25))</f>
        <v>14</v>
      </c>
      <c r="I25" t="s">
        <v>39</v>
      </c>
      <c r="J25">
        <f t="shared" si="0"/>
        <v>4.4000000000000004</v>
      </c>
      <c r="K25" t="str">
        <f t="shared" si="1"/>
        <v>EXCELLENT</v>
      </c>
      <c r="L25" t="str">
        <f t="shared" si="2"/>
        <v>MEDIUM</v>
      </c>
      <c r="M25" s="4">
        <f t="shared" si="3"/>
        <v>7.1981395348837216</v>
      </c>
    </row>
    <row r="26" spans="1:15" x14ac:dyDescent="0.25">
      <c r="A26" t="s">
        <v>40</v>
      </c>
      <c r="B26" s="4">
        <v>2048</v>
      </c>
      <c r="C26" s="4">
        <v>4500</v>
      </c>
      <c r="D26" s="4">
        <f>C26-B26</f>
        <v>2452</v>
      </c>
      <c r="E26" s="6">
        <f>D26/C26</f>
        <v>0.54488888888888887</v>
      </c>
      <c r="F26" s="1">
        <v>0.54</v>
      </c>
      <c r="G26">
        <v>-7</v>
      </c>
      <c r="H26">
        <f>IF(ISBLANK(G26),"",ABS(G26))</f>
        <v>7</v>
      </c>
      <c r="I26" t="s">
        <v>41</v>
      </c>
      <c r="J26">
        <f t="shared" si="0"/>
        <v>4.3</v>
      </c>
      <c r="K26" t="str">
        <f t="shared" si="1"/>
        <v>EXCELLENT</v>
      </c>
      <c r="L26" t="str">
        <f t="shared" si="2"/>
        <v>HIGH DISCOUNT</v>
      </c>
      <c r="M26" s="4">
        <f t="shared" si="3"/>
        <v>4.4412222222222217</v>
      </c>
    </row>
    <row r="27" spans="1:15" x14ac:dyDescent="0.25">
      <c r="A27" t="s">
        <v>42</v>
      </c>
      <c r="B27" s="4">
        <v>420</v>
      </c>
      <c r="C27" s="4">
        <v>647</v>
      </c>
      <c r="D27" s="4">
        <f>C27-B27</f>
        <v>227</v>
      </c>
      <c r="E27" s="6">
        <f>D27/C27</f>
        <v>0.3508500772797527</v>
      </c>
      <c r="F27" s="1">
        <v>0.35</v>
      </c>
      <c r="G27">
        <v>-49</v>
      </c>
      <c r="H27">
        <f>IF(ISBLANK(G27),"",ABS(G27))</f>
        <v>49</v>
      </c>
      <c r="I27" t="s">
        <v>10</v>
      </c>
      <c r="J27">
        <f t="shared" si="0"/>
        <v>4.5999999999999996</v>
      </c>
      <c r="K27" t="str">
        <f t="shared" si="1"/>
        <v>EXCELLENT</v>
      </c>
      <c r="L27" t="str">
        <f t="shared" si="2"/>
        <v>MEDIUM</v>
      </c>
      <c r="M27" s="4">
        <f t="shared" si="3"/>
        <v>21.297712519319941</v>
      </c>
    </row>
    <row r="28" spans="1:15" x14ac:dyDescent="0.25">
      <c r="A28" t="s">
        <v>43</v>
      </c>
      <c r="B28" s="4">
        <v>2880</v>
      </c>
      <c r="C28" s="4">
        <v>3520</v>
      </c>
      <c r="D28" s="4">
        <f>C28-B28</f>
        <v>640</v>
      </c>
      <c r="E28" s="6">
        <f>D28/C28</f>
        <v>0.18181818181818182</v>
      </c>
      <c r="F28" s="1">
        <v>0.18</v>
      </c>
      <c r="G28">
        <v>-12</v>
      </c>
      <c r="H28">
        <f>IF(ISBLANK(G28),"",ABS(G28))</f>
        <v>12</v>
      </c>
      <c r="I28" t="s">
        <v>21</v>
      </c>
      <c r="J28">
        <f t="shared" si="0"/>
        <v>3.8</v>
      </c>
      <c r="K28" t="str">
        <f t="shared" si="1"/>
        <v>AVERAGE</v>
      </c>
      <c r="L28" t="str">
        <f t="shared" si="2"/>
        <v>LOW DISCOUNT</v>
      </c>
      <c r="M28" s="4">
        <f t="shared" si="3"/>
        <v>6.1754545454545466</v>
      </c>
    </row>
    <row r="29" spans="1:15" x14ac:dyDescent="0.25">
      <c r="A29" t="s">
        <v>44</v>
      </c>
      <c r="B29" s="4">
        <v>1350</v>
      </c>
      <c r="C29" s="4">
        <v>1990</v>
      </c>
      <c r="D29" s="4">
        <f>C29-B29</f>
        <v>640</v>
      </c>
      <c r="E29" s="6">
        <f>D29/C29</f>
        <v>0.32160804020100503</v>
      </c>
      <c r="F29" s="1">
        <v>0.32</v>
      </c>
      <c r="G29">
        <v>-13</v>
      </c>
      <c r="H29">
        <f>IF(ISBLANK(G29),"",ABS(G29))</f>
        <v>13</v>
      </c>
      <c r="I29" t="s">
        <v>21</v>
      </c>
      <c r="J29">
        <f t="shared" si="0"/>
        <v>3.8</v>
      </c>
      <c r="K29" t="str">
        <f t="shared" si="1"/>
        <v>AVERAGE</v>
      </c>
      <c r="L29" t="str">
        <f t="shared" si="2"/>
        <v>MEDIUM</v>
      </c>
      <c r="M29" s="4">
        <f t="shared" si="3"/>
        <v>6.6104020100502519</v>
      </c>
    </row>
    <row r="30" spans="1:15" x14ac:dyDescent="0.25">
      <c r="A30" t="s">
        <v>45</v>
      </c>
      <c r="B30" s="4">
        <v>1758</v>
      </c>
      <c r="C30" s="4">
        <v>2499</v>
      </c>
      <c r="D30" s="4">
        <f>C30-B30</f>
        <v>741</v>
      </c>
      <c r="E30" s="6">
        <f>D30/C30</f>
        <v>0.2965186074429772</v>
      </c>
      <c r="F30" s="1">
        <v>0.3</v>
      </c>
      <c r="G30">
        <v>-20</v>
      </c>
      <c r="H30">
        <f>IF(ISBLANK(G30),"",ABS(G30))</f>
        <v>20</v>
      </c>
      <c r="I30" t="s">
        <v>8</v>
      </c>
      <c r="J30">
        <f t="shared" si="0"/>
        <v>4.0999999999999996</v>
      </c>
      <c r="K30" t="str">
        <f t="shared" si="1"/>
        <v>EXCELLENT</v>
      </c>
      <c r="L30" t="str">
        <f t="shared" si="2"/>
        <v>MEDIUM</v>
      </c>
      <c r="M30" s="4">
        <f t="shared" si="3"/>
        <v>9.5091296518607447</v>
      </c>
    </row>
    <row r="31" spans="1:15" x14ac:dyDescent="0.25">
      <c r="A31" t="s">
        <v>136</v>
      </c>
      <c r="B31" s="4">
        <v>2200</v>
      </c>
      <c r="C31" s="4">
        <v>4080</v>
      </c>
      <c r="D31" s="4">
        <f>C31-B31</f>
        <v>1880</v>
      </c>
      <c r="E31" s="6">
        <f>D31/C31</f>
        <v>0.46078431372549017</v>
      </c>
      <c r="F31" s="1">
        <v>0.46</v>
      </c>
      <c r="H31" t="str">
        <f>IF(ISBLANK(G31),"",ABS(G31))</f>
        <v/>
      </c>
      <c r="J31" t="str">
        <f t="shared" si="0"/>
        <v/>
      </c>
      <c r="K31" t="str">
        <f t="shared" si="1"/>
        <v/>
      </c>
      <c r="L31" t="str">
        <f t="shared" si="2"/>
        <v>HIGH DISCOUNT</v>
      </c>
      <c r="M31" s="4" t="str">
        <f t="shared" si="3"/>
        <v/>
      </c>
    </row>
    <row r="32" spans="1:15" x14ac:dyDescent="0.25">
      <c r="A32" t="s">
        <v>46</v>
      </c>
      <c r="B32" s="4">
        <v>185</v>
      </c>
      <c r="C32" s="4">
        <v>382</v>
      </c>
      <c r="D32" s="4">
        <f>C32-B32</f>
        <v>197</v>
      </c>
      <c r="E32" s="6">
        <f>D32/C32</f>
        <v>0.51570680628272247</v>
      </c>
      <c r="F32" s="1">
        <v>0.52</v>
      </c>
      <c r="G32">
        <v>-9</v>
      </c>
      <c r="H32">
        <f>IF(ISBLANK(G32),"",ABS(G32))</f>
        <v>9</v>
      </c>
      <c r="I32" t="s">
        <v>41</v>
      </c>
      <c r="J32">
        <f t="shared" si="0"/>
        <v>4.3</v>
      </c>
      <c r="K32" t="str">
        <f t="shared" si="1"/>
        <v>EXCELLENT</v>
      </c>
      <c r="L32" t="str">
        <f t="shared" si="2"/>
        <v>HIGH DISCOUNT</v>
      </c>
      <c r="M32" s="4">
        <f t="shared" si="3"/>
        <v>5.233926701570681</v>
      </c>
    </row>
    <row r="33" spans="1:13" x14ac:dyDescent="0.25">
      <c r="A33" t="s">
        <v>47</v>
      </c>
      <c r="B33" s="4">
        <v>980</v>
      </c>
      <c r="C33" s="4">
        <v>1490</v>
      </c>
      <c r="D33" s="4">
        <f>C33-B33</f>
        <v>510</v>
      </c>
      <c r="E33" s="6">
        <f>D33/C33</f>
        <v>0.34228187919463088</v>
      </c>
      <c r="F33" s="1">
        <v>0.34</v>
      </c>
      <c r="G33">
        <v>-12</v>
      </c>
      <c r="H33">
        <f>IF(ISBLANK(G33),"",ABS(G33))</f>
        <v>12</v>
      </c>
      <c r="I33" t="s">
        <v>12</v>
      </c>
      <c r="J33">
        <f t="shared" si="0"/>
        <v>4.7</v>
      </c>
      <c r="K33" t="str">
        <f t="shared" si="1"/>
        <v>EXCELLENT</v>
      </c>
      <c r="L33" t="str">
        <f t="shared" si="2"/>
        <v>MEDIUM</v>
      </c>
      <c r="M33" s="4">
        <f t="shared" si="3"/>
        <v>6.5305704697986577</v>
      </c>
    </row>
    <row r="34" spans="1:13" x14ac:dyDescent="0.25">
      <c r="A34" t="s">
        <v>48</v>
      </c>
      <c r="B34" s="4">
        <v>1820</v>
      </c>
      <c r="C34" s="4">
        <v>3490</v>
      </c>
      <c r="D34" s="4">
        <f>C34-B34</f>
        <v>1670</v>
      </c>
      <c r="E34" s="6">
        <f>D34/C34</f>
        <v>0.47851002865329512</v>
      </c>
      <c r="F34" s="1">
        <v>0.48</v>
      </c>
      <c r="G34">
        <v>-9</v>
      </c>
      <c r="H34">
        <f>IF(ISBLANK(G34),"",ABS(G34))</f>
        <v>9</v>
      </c>
      <c r="I34" t="s">
        <v>41</v>
      </c>
      <c r="J34">
        <f t="shared" si="0"/>
        <v>4.3</v>
      </c>
      <c r="K34" t="str">
        <f t="shared" si="1"/>
        <v>EXCELLENT</v>
      </c>
      <c r="L34" t="str">
        <f t="shared" si="2"/>
        <v>HIGH DISCOUNT</v>
      </c>
      <c r="M34" s="4">
        <f t="shared" si="3"/>
        <v>5.2246275071633246</v>
      </c>
    </row>
    <row r="35" spans="1:13" x14ac:dyDescent="0.25">
      <c r="A35" t="s">
        <v>49</v>
      </c>
      <c r="B35" s="4">
        <v>1940</v>
      </c>
      <c r="C35" s="4">
        <v>2650</v>
      </c>
      <c r="D35" s="4">
        <f>C35-B35</f>
        <v>710</v>
      </c>
      <c r="E35" s="6">
        <f>D35/C35</f>
        <v>0.26792452830188679</v>
      </c>
      <c r="F35" s="1">
        <v>0.27</v>
      </c>
      <c r="G35">
        <v>-20</v>
      </c>
      <c r="H35">
        <f>IF(ISBLANK(G35),"",ABS(G35))</f>
        <v>20</v>
      </c>
      <c r="I35" t="s">
        <v>12</v>
      </c>
      <c r="J35">
        <f t="shared" si="0"/>
        <v>4.7</v>
      </c>
      <c r="K35" t="str">
        <f t="shared" si="1"/>
        <v>EXCELLENT</v>
      </c>
      <c r="L35" t="str">
        <f t="shared" si="2"/>
        <v>MEDIUM</v>
      </c>
      <c r="M35" s="4">
        <f t="shared" si="3"/>
        <v>9.7119811320754721</v>
      </c>
    </row>
    <row r="36" spans="1:13" x14ac:dyDescent="0.25">
      <c r="A36" t="s">
        <v>50</v>
      </c>
      <c r="B36" s="4">
        <v>1980</v>
      </c>
      <c r="C36" s="4">
        <v>2699</v>
      </c>
      <c r="D36" s="4">
        <f>C36-B36</f>
        <v>719</v>
      </c>
      <c r="E36" s="6">
        <f>D36/C36</f>
        <v>0.26639496109670247</v>
      </c>
      <c r="F36" s="1">
        <v>0.27</v>
      </c>
      <c r="G36">
        <v>-32</v>
      </c>
      <c r="H36">
        <f>IF(ISBLANK(G36),"",ABS(G36))</f>
        <v>32</v>
      </c>
      <c r="I36" t="s">
        <v>6</v>
      </c>
      <c r="J36">
        <f t="shared" si="0"/>
        <v>4.5</v>
      </c>
      <c r="K36" t="str">
        <f t="shared" si="1"/>
        <v>EXCELLENT</v>
      </c>
      <c r="L36" t="str">
        <f t="shared" si="2"/>
        <v>MEDIUM</v>
      </c>
      <c r="M36" s="4">
        <f t="shared" si="3"/>
        <v>14.441598740274175</v>
      </c>
    </row>
    <row r="37" spans="1:13" x14ac:dyDescent="0.25">
      <c r="A37" t="s">
        <v>51</v>
      </c>
      <c r="B37" s="4">
        <v>1620</v>
      </c>
      <c r="C37" s="4">
        <v>2690</v>
      </c>
      <c r="D37" s="4">
        <f>C37-B37</f>
        <v>1070</v>
      </c>
      <c r="E37" s="6">
        <f>D37/C37</f>
        <v>0.39776951672862454</v>
      </c>
      <c r="F37" s="1">
        <v>0.4</v>
      </c>
      <c r="G37">
        <v>-1</v>
      </c>
      <c r="H37">
        <f>IF(ISBLANK(G37),"",ABS(G37))</f>
        <v>1</v>
      </c>
      <c r="I37" t="s">
        <v>29</v>
      </c>
      <c r="J37">
        <f t="shared" si="0"/>
        <v>5</v>
      </c>
      <c r="K37" t="str">
        <f t="shared" si="1"/>
        <v>EXCELLENT</v>
      </c>
      <c r="L37" t="str">
        <f t="shared" si="2"/>
        <v>MEDIUM</v>
      </c>
      <c r="M37" s="4">
        <f t="shared" si="3"/>
        <v>2.2494423791821561</v>
      </c>
    </row>
    <row r="38" spans="1:13" x14ac:dyDescent="0.25">
      <c r="A38" t="s">
        <v>52</v>
      </c>
      <c r="B38" s="4">
        <v>171</v>
      </c>
      <c r="C38" s="4">
        <v>360</v>
      </c>
      <c r="D38" s="4">
        <f>C38-B38</f>
        <v>189</v>
      </c>
      <c r="E38" s="6">
        <f>D38/C38</f>
        <v>0.52500000000000002</v>
      </c>
      <c r="F38" s="1">
        <v>0.53</v>
      </c>
      <c r="G38">
        <v>-2</v>
      </c>
      <c r="H38">
        <f>IF(ISBLANK(G38),"",ABS(G38))</f>
        <v>2</v>
      </c>
      <c r="I38" t="s">
        <v>29</v>
      </c>
      <c r="J38">
        <f t="shared" si="0"/>
        <v>5</v>
      </c>
      <c r="K38" t="str">
        <f t="shared" si="1"/>
        <v>EXCELLENT</v>
      </c>
      <c r="L38" t="str">
        <f t="shared" si="2"/>
        <v>HIGH DISCOUNT</v>
      </c>
      <c r="M38" s="4">
        <f t="shared" si="3"/>
        <v>2.6812499999999999</v>
      </c>
    </row>
    <row r="39" spans="1:13" x14ac:dyDescent="0.25">
      <c r="A39" t="s">
        <v>53</v>
      </c>
      <c r="B39" s="4">
        <v>389</v>
      </c>
      <c r="C39" s="4">
        <v>656</v>
      </c>
      <c r="D39" s="4">
        <f>C39-B39</f>
        <v>267</v>
      </c>
      <c r="E39" s="6">
        <f>D39/C39</f>
        <v>0.40701219512195119</v>
      </c>
      <c r="F39" s="1">
        <v>0.41</v>
      </c>
      <c r="G39">
        <v>-36</v>
      </c>
      <c r="H39">
        <f>IF(ISBLANK(G39),"",ABS(G39))</f>
        <v>36</v>
      </c>
      <c r="I39" t="s">
        <v>41</v>
      </c>
      <c r="J39">
        <f t="shared" si="0"/>
        <v>4.3</v>
      </c>
      <c r="K39" t="str">
        <f t="shared" si="1"/>
        <v>EXCELLENT</v>
      </c>
      <c r="L39" t="str">
        <f t="shared" si="2"/>
        <v>HIGH DISCOUNT</v>
      </c>
      <c r="M39" s="4">
        <f t="shared" si="3"/>
        <v>16.006753048780489</v>
      </c>
    </row>
    <row r="40" spans="1:13" x14ac:dyDescent="0.25">
      <c r="A40" t="s">
        <v>54</v>
      </c>
      <c r="B40" s="4">
        <f>AVERAGE(1620,1980)</f>
        <v>1800</v>
      </c>
      <c r="C40" s="4">
        <f>AVERAGE(2200,3200)</f>
        <v>2700</v>
      </c>
      <c r="D40" s="4">
        <f>C40-B40</f>
        <v>900</v>
      </c>
      <c r="E40" s="6">
        <f>D40/C40</f>
        <v>0.33333333333333331</v>
      </c>
      <c r="F40" s="1">
        <v>0.38</v>
      </c>
      <c r="G40">
        <v>-2</v>
      </c>
      <c r="H40">
        <f>IF(ISBLANK(G40),"",ABS(G40))</f>
        <v>2</v>
      </c>
      <c r="I40" t="s">
        <v>6</v>
      </c>
      <c r="J40">
        <f t="shared" si="0"/>
        <v>4.5</v>
      </c>
      <c r="K40" t="str">
        <f t="shared" si="1"/>
        <v>EXCELLENT</v>
      </c>
      <c r="L40" t="str">
        <f t="shared" si="2"/>
        <v>MEDIUM</v>
      </c>
      <c r="M40" s="4">
        <f t="shared" si="3"/>
        <v>2.4583333333333335</v>
      </c>
    </row>
    <row r="41" spans="1:13" x14ac:dyDescent="0.25">
      <c r="A41" t="s">
        <v>55</v>
      </c>
      <c r="B41" s="4">
        <v>2750</v>
      </c>
      <c r="C41" s="4">
        <v>4471</v>
      </c>
      <c r="D41" s="4">
        <f>C41-B41</f>
        <v>1721</v>
      </c>
      <c r="E41" s="6">
        <f>D41/C41</f>
        <v>0.38492507269067322</v>
      </c>
      <c r="F41" s="1">
        <v>0.38</v>
      </c>
      <c r="H41" t="str">
        <f>IF(ISBLANK(G41),"",ABS(G41))</f>
        <v/>
      </c>
      <c r="J41" t="str">
        <f t="shared" si="0"/>
        <v/>
      </c>
      <c r="K41" t="str">
        <f t="shared" si="1"/>
        <v/>
      </c>
      <c r="L41" t="str">
        <f t="shared" si="2"/>
        <v>MEDIUM</v>
      </c>
      <c r="M41" s="4" t="str">
        <f t="shared" si="3"/>
        <v/>
      </c>
    </row>
    <row r="42" spans="1:13" x14ac:dyDescent="0.25">
      <c r="A42" t="s">
        <v>56</v>
      </c>
      <c r="B42" s="4">
        <v>475</v>
      </c>
      <c r="C42" s="4">
        <v>931</v>
      </c>
      <c r="D42" s="4">
        <f>C42-B42</f>
        <v>456</v>
      </c>
      <c r="E42" s="6">
        <f>D42/C42</f>
        <v>0.48979591836734693</v>
      </c>
      <c r="F42" s="1">
        <v>0.49</v>
      </c>
      <c r="H42" t="str">
        <f>IF(ISBLANK(G42),"",ABS(G42))</f>
        <v/>
      </c>
      <c r="J42" t="str">
        <f t="shared" si="0"/>
        <v/>
      </c>
      <c r="K42" t="str">
        <f t="shared" si="1"/>
        <v/>
      </c>
      <c r="L42" t="str">
        <f t="shared" si="2"/>
        <v>HIGH DISCOUNT</v>
      </c>
      <c r="M42" s="4" t="str">
        <f t="shared" si="3"/>
        <v/>
      </c>
    </row>
    <row r="43" spans="1:13" x14ac:dyDescent="0.25">
      <c r="A43" t="s">
        <v>57</v>
      </c>
      <c r="B43" s="4">
        <v>238</v>
      </c>
      <c r="C43" s="4">
        <v>476</v>
      </c>
      <c r="D43" s="4">
        <f>C43-B43</f>
        <v>238</v>
      </c>
      <c r="E43" s="6">
        <f>D43/C43</f>
        <v>0.5</v>
      </c>
      <c r="F43" s="1">
        <v>0.5</v>
      </c>
      <c r="H43" t="str">
        <f>IF(ISBLANK(G43),"",ABS(G43))</f>
        <v/>
      </c>
      <c r="J43" t="str">
        <f t="shared" si="0"/>
        <v/>
      </c>
      <c r="K43" t="str">
        <f t="shared" si="1"/>
        <v/>
      </c>
      <c r="L43" t="str">
        <f t="shared" si="2"/>
        <v>HIGH DISCOUNT</v>
      </c>
      <c r="M43" s="4" t="str">
        <f t="shared" si="3"/>
        <v/>
      </c>
    </row>
    <row r="44" spans="1:13" x14ac:dyDescent="0.25">
      <c r="A44" t="s">
        <v>58</v>
      </c>
      <c r="B44" s="4">
        <v>610</v>
      </c>
      <c r="C44" s="4">
        <v>1060</v>
      </c>
      <c r="D44" s="4">
        <f>C44-B44</f>
        <v>450</v>
      </c>
      <c r="E44" s="6">
        <f>D44/C44</f>
        <v>0.42452830188679247</v>
      </c>
      <c r="F44" s="1">
        <v>0.42</v>
      </c>
      <c r="H44" t="str">
        <f>IF(ISBLANK(G44),"",ABS(G44))</f>
        <v/>
      </c>
      <c r="J44" t="str">
        <f t="shared" si="0"/>
        <v/>
      </c>
      <c r="K44" t="str">
        <f t="shared" si="1"/>
        <v/>
      </c>
      <c r="L44" t="str">
        <f t="shared" si="2"/>
        <v>HIGH DISCOUNT</v>
      </c>
      <c r="M44" s="4" t="str">
        <f t="shared" si="3"/>
        <v/>
      </c>
    </row>
    <row r="45" spans="1:13" x14ac:dyDescent="0.25">
      <c r="A45" t="s">
        <v>59</v>
      </c>
      <c r="B45" s="4">
        <v>2132</v>
      </c>
      <c r="C45" s="4">
        <v>2169</v>
      </c>
      <c r="D45" s="4">
        <f>C45-B45</f>
        <v>37</v>
      </c>
      <c r="E45" s="6">
        <f>D45/C45</f>
        <v>1.705855232826187E-2</v>
      </c>
      <c r="F45" s="1">
        <v>0.02</v>
      </c>
      <c r="H45" t="str">
        <f>IF(ISBLANK(G45),"",ABS(G45))</f>
        <v/>
      </c>
      <c r="J45" t="str">
        <f t="shared" si="0"/>
        <v/>
      </c>
      <c r="K45" t="str">
        <f t="shared" si="1"/>
        <v/>
      </c>
      <c r="L45" t="str">
        <f t="shared" si="2"/>
        <v>LOW DISCOUNT</v>
      </c>
      <c r="M45" s="4" t="str">
        <f t="shared" si="3"/>
        <v/>
      </c>
    </row>
    <row r="46" spans="1:13" x14ac:dyDescent="0.25">
      <c r="A46" t="s">
        <v>60</v>
      </c>
      <c r="B46" s="4">
        <v>999</v>
      </c>
      <c r="C46" s="4">
        <v>2000</v>
      </c>
      <c r="D46" s="4">
        <f>C46-B46</f>
        <v>1001</v>
      </c>
      <c r="E46" s="6">
        <f>D46/C46</f>
        <v>0.50049999999999994</v>
      </c>
      <c r="F46" s="1">
        <v>0.5</v>
      </c>
      <c r="H46" t="str">
        <f>IF(ISBLANK(G46),"",ABS(G46))</f>
        <v/>
      </c>
      <c r="J46" t="str">
        <f t="shared" si="0"/>
        <v/>
      </c>
      <c r="K46" t="str">
        <f t="shared" si="1"/>
        <v/>
      </c>
      <c r="L46" t="str">
        <f t="shared" si="2"/>
        <v>HIGH DISCOUNT</v>
      </c>
      <c r="M46" s="4" t="str">
        <f t="shared" si="3"/>
        <v/>
      </c>
    </row>
    <row r="47" spans="1:13" x14ac:dyDescent="0.25">
      <c r="A47" t="s">
        <v>61</v>
      </c>
      <c r="B47" s="4">
        <v>1190</v>
      </c>
      <c r="C47" s="4">
        <v>1785</v>
      </c>
      <c r="D47" s="4">
        <f>C47-B47</f>
        <v>595</v>
      </c>
      <c r="E47" s="6">
        <f>D47/C47</f>
        <v>0.33333333333333331</v>
      </c>
      <c r="F47" s="1">
        <v>0.33</v>
      </c>
      <c r="H47" t="str">
        <f>IF(ISBLANK(G47),"",ABS(G47))</f>
        <v/>
      </c>
      <c r="J47" t="str">
        <f t="shared" si="0"/>
        <v/>
      </c>
      <c r="K47" t="str">
        <f t="shared" si="1"/>
        <v/>
      </c>
      <c r="L47" t="str">
        <f t="shared" si="2"/>
        <v>MEDIUM</v>
      </c>
      <c r="M47" s="4" t="str">
        <f t="shared" si="3"/>
        <v/>
      </c>
    </row>
    <row r="48" spans="1:13" x14ac:dyDescent="0.25">
      <c r="A48" t="s">
        <v>62</v>
      </c>
      <c r="B48" s="4">
        <v>671</v>
      </c>
      <c r="C48" s="4">
        <v>1316</v>
      </c>
      <c r="D48" s="4">
        <f>C48-B48</f>
        <v>645</v>
      </c>
      <c r="E48" s="6">
        <f>D48/C48</f>
        <v>0.49012158054711247</v>
      </c>
      <c r="F48" s="1">
        <v>0.49</v>
      </c>
      <c r="H48" t="str">
        <f>IF(ISBLANK(G48),"",ABS(G48))</f>
        <v/>
      </c>
      <c r="J48" t="str">
        <f t="shared" si="0"/>
        <v/>
      </c>
      <c r="K48" t="str">
        <f t="shared" si="1"/>
        <v/>
      </c>
      <c r="L48" t="str">
        <f t="shared" si="2"/>
        <v>HIGH DISCOUNT</v>
      </c>
      <c r="M48" s="4" t="str">
        <f t="shared" si="3"/>
        <v/>
      </c>
    </row>
    <row r="49" spans="1:13" x14ac:dyDescent="0.25">
      <c r="A49" t="s">
        <v>63</v>
      </c>
      <c r="B49" s="4">
        <v>1200</v>
      </c>
      <c r="C49" s="4">
        <v>1950</v>
      </c>
      <c r="D49" s="4">
        <f>C49-B49</f>
        <v>750</v>
      </c>
      <c r="E49" s="6">
        <f>D49/C49</f>
        <v>0.38461538461538464</v>
      </c>
      <c r="F49" s="1">
        <v>0.38</v>
      </c>
      <c r="H49" t="str">
        <f>IF(ISBLANK(G49),"",ABS(G49))</f>
        <v/>
      </c>
      <c r="J49" t="str">
        <f t="shared" si="0"/>
        <v/>
      </c>
      <c r="K49" t="str">
        <f t="shared" si="1"/>
        <v/>
      </c>
      <c r="L49" t="str">
        <f t="shared" si="2"/>
        <v>MEDIUM</v>
      </c>
      <c r="M49" s="4" t="str">
        <f t="shared" si="3"/>
        <v/>
      </c>
    </row>
    <row r="50" spans="1:13" x14ac:dyDescent="0.25">
      <c r="A50" t="s">
        <v>64</v>
      </c>
      <c r="B50" s="4">
        <v>199</v>
      </c>
      <c r="C50" s="4">
        <v>504</v>
      </c>
      <c r="D50" s="4">
        <f>C50-B50</f>
        <v>305</v>
      </c>
      <c r="E50" s="6">
        <f>D50/C50</f>
        <v>0.60515873015873012</v>
      </c>
      <c r="F50" s="1">
        <v>0.61</v>
      </c>
      <c r="H50" t="str">
        <f>IF(ISBLANK(G50),"",ABS(G50))</f>
        <v/>
      </c>
      <c r="J50" t="str">
        <f t="shared" si="0"/>
        <v/>
      </c>
      <c r="K50" t="str">
        <f t="shared" si="1"/>
        <v/>
      </c>
      <c r="L50" t="str">
        <f t="shared" si="2"/>
        <v>HIGH DISCOUNT</v>
      </c>
      <c r="M50" s="4" t="str">
        <f t="shared" si="3"/>
        <v/>
      </c>
    </row>
    <row r="51" spans="1:13" x14ac:dyDescent="0.25">
      <c r="A51" t="s">
        <v>65</v>
      </c>
      <c r="B51" s="4">
        <v>299</v>
      </c>
      <c r="C51" s="4">
        <v>600</v>
      </c>
      <c r="D51" s="4">
        <f>C51-B51</f>
        <v>301</v>
      </c>
      <c r="E51" s="6">
        <f>D51/C51</f>
        <v>0.50166666666666671</v>
      </c>
      <c r="F51" s="1">
        <v>0.5</v>
      </c>
      <c r="H51" t="str">
        <f>IF(ISBLANK(G51),"",ABS(G51))</f>
        <v/>
      </c>
      <c r="J51" t="str">
        <f t="shared" si="0"/>
        <v/>
      </c>
      <c r="K51" t="str">
        <f t="shared" si="1"/>
        <v/>
      </c>
      <c r="L51" t="str">
        <f t="shared" si="2"/>
        <v>HIGH DISCOUNT</v>
      </c>
      <c r="M51" s="4" t="str">
        <f t="shared" si="3"/>
        <v/>
      </c>
    </row>
    <row r="52" spans="1:13" x14ac:dyDescent="0.25">
      <c r="A52" t="s">
        <v>66</v>
      </c>
      <c r="B52" s="4">
        <v>1660</v>
      </c>
      <c r="C52" s="4">
        <v>1699</v>
      </c>
      <c r="D52" s="4">
        <f>C52-B52</f>
        <v>39</v>
      </c>
      <c r="E52" s="6">
        <f>D52/C52</f>
        <v>2.2954679223072396E-2</v>
      </c>
      <c r="F52" s="1">
        <v>0.02</v>
      </c>
      <c r="H52" t="str">
        <f>IF(ISBLANK(G52),"",ABS(G52))</f>
        <v/>
      </c>
      <c r="J52" t="str">
        <f t="shared" si="0"/>
        <v/>
      </c>
      <c r="K52" t="str">
        <f t="shared" si="1"/>
        <v/>
      </c>
      <c r="L52" t="str">
        <f t="shared" si="2"/>
        <v>LOW DISCOUNT</v>
      </c>
      <c r="M52" s="4" t="str">
        <f t="shared" si="3"/>
        <v/>
      </c>
    </row>
    <row r="53" spans="1:13" x14ac:dyDescent="0.25">
      <c r="A53" t="s">
        <v>67</v>
      </c>
      <c r="B53" s="4">
        <v>299</v>
      </c>
      <c r="C53" s="4">
        <v>384</v>
      </c>
      <c r="D53" s="4">
        <f>C53-B53</f>
        <v>85</v>
      </c>
      <c r="E53" s="6">
        <f>D53/C53</f>
        <v>0.22135416666666666</v>
      </c>
      <c r="F53" s="1">
        <v>0.22</v>
      </c>
      <c r="H53" t="str">
        <f>IF(ISBLANK(G53),"",ABS(G53))</f>
        <v/>
      </c>
      <c r="J53" t="str">
        <f t="shared" si="0"/>
        <v/>
      </c>
      <c r="K53" t="str">
        <f t="shared" si="1"/>
        <v/>
      </c>
      <c r="L53" t="str">
        <f t="shared" si="2"/>
        <v>MEDIUM</v>
      </c>
      <c r="M53" s="4" t="str">
        <f t="shared" si="3"/>
        <v/>
      </c>
    </row>
    <row r="54" spans="1:13" x14ac:dyDescent="0.25">
      <c r="A54" t="s">
        <v>68</v>
      </c>
      <c r="B54" s="4">
        <v>1459</v>
      </c>
      <c r="C54" s="4">
        <v>1499</v>
      </c>
      <c r="D54" s="4">
        <f>C54-B54</f>
        <v>40</v>
      </c>
      <c r="E54" s="6">
        <f>D54/C54</f>
        <v>2.6684456304202801E-2</v>
      </c>
      <c r="F54" s="1">
        <v>0.03</v>
      </c>
      <c r="H54" t="str">
        <f>IF(ISBLANK(G54),"",ABS(G54))</f>
        <v/>
      </c>
      <c r="J54" t="str">
        <f t="shared" si="0"/>
        <v/>
      </c>
      <c r="K54" t="str">
        <f t="shared" si="1"/>
        <v/>
      </c>
      <c r="L54" t="str">
        <f t="shared" si="2"/>
        <v>LOW DISCOUNT</v>
      </c>
      <c r="M54" s="4" t="str">
        <f t="shared" si="3"/>
        <v/>
      </c>
    </row>
    <row r="55" spans="1:13" x14ac:dyDescent="0.25">
      <c r="A55" t="s">
        <v>69</v>
      </c>
      <c r="B55" s="4">
        <v>799</v>
      </c>
      <c r="C55" s="4">
        <v>1343</v>
      </c>
      <c r="D55" s="4">
        <f>C55-B55</f>
        <v>544</v>
      </c>
      <c r="E55" s="6">
        <f>D55/C55</f>
        <v>0.4050632911392405</v>
      </c>
      <c r="F55" s="1">
        <v>0.41</v>
      </c>
      <c r="H55" t="str">
        <f>IF(ISBLANK(G55),"",ABS(G55))</f>
        <v/>
      </c>
      <c r="J55" t="str">
        <f t="shared" si="0"/>
        <v/>
      </c>
      <c r="K55" t="str">
        <f t="shared" si="1"/>
        <v/>
      </c>
      <c r="L55" t="str">
        <f t="shared" si="2"/>
        <v>HIGH DISCOUNT</v>
      </c>
      <c r="M55" s="4" t="str">
        <f t="shared" si="3"/>
        <v/>
      </c>
    </row>
    <row r="56" spans="1:13" x14ac:dyDescent="0.25">
      <c r="A56" t="s">
        <v>70</v>
      </c>
      <c r="B56" s="4">
        <v>499</v>
      </c>
      <c r="C56" s="4">
        <v>900</v>
      </c>
      <c r="D56" s="4">
        <f>C56-B56</f>
        <v>401</v>
      </c>
      <c r="E56" s="6">
        <f>D56/C56</f>
        <v>0.44555555555555554</v>
      </c>
      <c r="F56" s="1">
        <v>0.45</v>
      </c>
      <c r="H56" t="str">
        <f>IF(ISBLANK(G56),"",ABS(G56))</f>
        <v/>
      </c>
      <c r="J56" t="str">
        <f t="shared" si="0"/>
        <v/>
      </c>
      <c r="K56" t="str">
        <f t="shared" si="1"/>
        <v/>
      </c>
      <c r="L56" t="str">
        <f t="shared" si="2"/>
        <v>HIGH DISCOUNT</v>
      </c>
      <c r="M56" s="4" t="str">
        <f t="shared" si="3"/>
        <v/>
      </c>
    </row>
    <row r="57" spans="1:13" x14ac:dyDescent="0.25">
      <c r="A57" t="s">
        <v>71</v>
      </c>
      <c r="B57" s="4">
        <v>699</v>
      </c>
      <c r="C57" s="4">
        <v>1343</v>
      </c>
      <c r="D57" s="4">
        <f>C57-B57</f>
        <v>644</v>
      </c>
      <c r="E57" s="6">
        <f>D57/C57</f>
        <v>0.47952345495160087</v>
      </c>
      <c r="F57" s="1">
        <v>0.48</v>
      </c>
      <c r="H57" t="str">
        <f>IF(ISBLANK(G57),"",ABS(G57))</f>
        <v/>
      </c>
      <c r="J57" t="str">
        <f t="shared" si="0"/>
        <v/>
      </c>
      <c r="K57" t="str">
        <f t="shared" si="1"/>
        <v/>
      </c>
      <c r="L57" t="str">
        <f t="shared" si="2"/>
        <v>HIGH DISCOUNT</v>
      </c>
      <c r="M57" s="4" t="str">
        <f t="shared" si="3"/>
        <v/>
      </c>
    </row>
    <row r="58" spans="1:13" x14ac:dyDescent="0.25">
      <c r="A58" t="s">
        <v>72</v>
      </c>
      <c r="B58" s="4">
        <v>799</v>
      </c>
      <c r="C58" s="4">
        <v>1567</v>
      </c>
      <c r="D58" s="4">
        <f>C58-B58</f>
        <v>768</v>
      </c>
      <c r="E58" s="6">
        <f>D58/C58</f>
        <v>0.49010848755583919</v>
      </c>
      <c r="F58" s="1">
        <v>0.49</v>
      </c>
      <c r="H58" t="str">
        <f>IF(ISBLANK(G58),"",ABS(G58))</f>
        <v/>
      </c>
      <c r="J58" t="str">
        <f t="shared" si="0"/>
        <v/>
      </c>
      <c r="K58" t="str">
        <f t="shared" si="1"/>
        <v/>
      </c>
      <c r="L58" t="str">
        <f t="shared" si="2"/>
        <v>HIGH DISCOUNT</v>
      </c>
      <c r="M58" s="4" t="str">
        <f t="shared" si="3"/>
        <v/>
      </c>
    </row>
    <row r="59" spans="1:13" x14ac:dyDescent="0.25">
      <c r="A59" t="s">
        <v>73</v>
      </c>
      <c r="B59" s="4">
        <v>2799</v>
      </c>
      <c r="C59" s="4">
        <v>3810</v>
      </c>
      <c r="D59" s="4">
        <f>C59-B59</f>
        <v>1011</v>
      </c>
      <c r="E59" s="6">
        <f>D59/C59</f>
        <v>0.26535433070866143</v>
      </c>
      <c r="F59" s="1">
        <v>0.27</v>
      </c>
      <c r="H59" t="str">
        <f>IF(ISBLANK(G59),"",ABS(G59))</f>
        <v/>
      </c>
      <c r="J59" t="str">
        <f t="shared" si="0"/>
        <v/>
      </c>
      <c r="K59" t="str">
        <f t="shared" si="1"/>
        <v/>
      </c>
      <c r="L59" t="str">
        <f t="shared" si="2"/>
        <v>MEDIUM</v>
      </c>
      <c r="M59" s="4" t="str">
        <f t="shared" si="3"/>
        <v/>
      </c>
    </row>
    <row r="60" spans="1:13" x14ac:dyDescent="0.25">
      <c r="A60" t="s">
        <v>70</v>
      </c>
      <c r="B60" s="4">
        <v>399</v>
      </c>
      <c r="C60" s="4">
        <v>896</v>
      </c>
      <c r="D60" s="4">
        <f>C60-B60</f>
        <v>497</v>
      </c>
      <c r="E60" s="6">
        <f>D60/C60</f>
        <v>0.5546875</v>
      </c>
      <c r="F60" s="1">
        <v>0.55000000000000004</v>
      </c>
      <c r="H60" t="str">
        <f>IF(ISBLANK(G60),"",ABS(G60))</f>
        <v/>
      </c>
      <c r="J60" t="str">
        <f t="shared" si="0"/>
        <v/>
      </c>
      <c r="K60" t="str">
        <f t="shared" si="1"/>
        <v/>
      </c>
      <c r="L60" t="str">
        <f t="shared" si="2"/>
        <v>HIGH DISCOUNT</v>
      </c>
      <c r="M60" s="4" t="str">
        <f t="shared" si="3"/>
        <v/>
      </c>
    </row>
    <row r="61" spans="1:13" x14ac:dyDescent="0.25">
      <c r="A61" t="s">
        <v>74</v>
      </c>
      <c r="B61" s="4">
        <v>2170</v>
      </c>
      <c r="C61" s="4">
        <v>2500</v>
      </c>
      <c r="D61" s="4">
        <f>C61-B61</f>
        <v>330</v>
      </c>
      <c r="E61" s="6">
        <f>D61/C61</f>
        <v>0.13200000000000001</v>
      </c>
      <c r="F61" s="1">
        <v>0.13</v>
      </c>
      <c r="G61">
        <v>-6</v>
      </c>
      <c r="H61">
        <f>IF(ISBLANK(G61),"",ABS(G61))</f>
        <v>6</v>
      </c>
      <c r="I61" t="s">
        <v>75</v>
      </c>
      <c r="J61">
        <f t="shared" si="0"/>
        <v>2.5</v>
      </c>
      <c r="K61" t="str">
        <f t="shared" si="1"/>
        <v>POOR</v>
      </c>
      <c r="L61" t="str">
        <f t="shared" si="2"/>
        <v>LOW DISCOUNT</v>
      </c>
      <c r="M61" s="4">
        <f t="shared" si="3"/>
        <v>3.3080000000000003</v>
      </c>
    </row>
    <row r="62" spans="1:13" x14ac:dyDescent="0.25">
      <c r="A62" t="s">
        <v>76</v>
      </c>
      <c r="B62" s="4">
        <v>458</v>
      </c>
      <c r="C62" s="4">
        <v>986</v>
      </c>
      <c r="D62" s="4">
        <f>C62-B62</f>
        <v>528</v>
      </c>
      <c r="E62" s="6">
        <f>D62/C62</f>
        <v>0.53549695740365111</v>
      </c>
      <c r="F62" s="1">
        <v>0.54</v>
      </c>
      <c r="G62">
        <v>-10</v>
      </c>
      <c r="H62">
        <f>IF(ISBLANK(G62),"",ABS(G62))</f>
        <v>10</v>
      </c>
      <c r="I62" t="s">
        <v>77</v>
      </c>
      <c r="J62">
        <f t="shared" si="0"/>
        <v>3</v>
      </c>
      <c r="K62" t="str">
        <f t="shared" si="1"/>
        <v>AVERAGE</v>
      </c>
      <c r="L62" t="str">
        <f t="shared" si="2"/>
        <v>HIGH DISCOUNT</v>
      </c>
      <c r="M62" s="4">
        <f t="shared" si="3"/>
        <v>5.1838742393509127</v>
      </c>
    </row>
    <row r="63" spans="1:13" x14ac:dyDescent="0.25">
      <c r="A63" t="s">
        <v>78</v>
      </c>
      <c r="B63" s="4">
        <v>2115</v>
      </c>
      <c r="C63" s="4">
        <v>4700</v>
      </c>
      <c r="D63" s="4">
        <f>C63-B63</f>
        <v>2585</v>
      </c>
      <c r="E63" s="6">
        <f>D63/C63</f>
        <v>0.55000000000000004</v>
      </c>
      <c r="F63" s="1">
        <v>0.55000000000000004</v>
      </c>
      <c r="G63">
        <v>-13</v>
      </c>
      <c r="H63">
        <f>IF(ISBLANK(G63),"",ABS(G63))</f>
        <v>13</v>
      </c>
      <c r="I63" t="s">
        <v>79</v>
      </c>
      <c r="J63">
        <f t="shared" si="0"/>
        <v>2.1</v>
      </c>
      <c r="K63" t="str">
        <f t="shared" si="1"/>
        <v>POOR</v>
      </c>
      <c r="L63" t="str">
        <f t="shared" si="2"/>
        <v>HIGH DISCOUNT</v>
      </c>
      <c r="M63" s="4">
        <f t="shared" si="3"/>
        <v>6.0725000000000007</v>
      </c>
    </row>
    <row r="64" spans="1:13" x14ac:dyDescent="0.25">
      <c r="A64" t="s">
        <v>80</v>
      </c>
      <c r="B64" s="4">
        <v>445</v>
      </c>
      <c r="C64" s="4">
        <v>873</v>
      </c>
      <c r="D64" s="4">
        <f>C64-B64</f>
        <v>428</v>
      </c>
      <c r="E64" s="6">
        <f>D64/C64</f>
        <v>0.49026345933562426</v>
      </c>
      <c r="F64" s="1">
        <v>0.49</v>
      </c>
      <c r="G64">
        <v>-69</v>
      </c>
      <c r="H64">
        <f>IF(ISBLANK(G64),"",ABS(G64))</f>
        <v>69</v>
      </c>
      <c r="I64" t="s">
        <v>81</v>
      </c>
      <c r="J64">
        <f t="shared" si="0"/>
        <v>2.8</v>
      </c>
      <c r="K64" t="str">
        <f t="shared" si="1"/>
        <v>POOR</v>
      </c>
      <c r="L64" t="str">
        <f t="shared" si="2"/>
        <v>HIGH DISCOUNT</v>
      </c>
      <c r="M64" s="4">
        <f t="shared" si="3"/>
        <v>28.702565864833907</v>
      </c>
    </row>
    <row r="65" spans="1:13" x14ac:dyDescent="0.25">
      <c r="A65" t="s">
        <v>82</v>
      </c>
      <c r="B65" s="4">
        <v>325</v>
      </c>
      <c r="C65" s="4">
        <v>680</v>
      </c>
      <c r="D65" s="4">
        <f>C65-B65</f>
        <v>355</v>
      </c>
      <c r="E65" s="6">
        <f>D65/C65</f>
        <v>0.5220588235294118</v>
      </c>
      <c r="F65" s="1">
        <v>0.52</v>
      </c>
      <c r="G65">
        <v>-15</v>
      </c>
      <c r="H65">
        <f>IF(ISBLANK(G65),"",ABS(G65))</f>
        <v>15</v>
      </c>
      <c r="I65" t="s">
        <v>83</v>
      </c>
      <c r="J65">
        <f t="shared" si="0"/>
        <v>2.7</v>
      </c>
      <c r="K65" t="str">
        <f t="shared" si="1"/>
        <v>POOR</v>
      </c>
      <c r="L65" t="str">
        <f t="shared" si="2"/>
        <v>HIGH DISCOUNT</v>
      </c>
      <c r="M65" s="4">
        <f t="shared" si="3"/>
        <v>7.0755147058823535</v>
      </c>
    </row>
    <row r="66" spans="1:13" x14ac:dyDescent="0.25">
      <c r="A66" t="s">
        <v>84</v>
      </c>
      <c r="B66" s="4">
        <v>1220</v>
      </c>
      <c r="C66" s="4">
        <v>1555</v>
      </c>
      <c r="D66" s="4">
        <f>C66-B66</f>
        <v>335</v>
      </c>
      <c r="E66" s="6">
        <f>D66/C66</f>
        <v>0.21543408360128619</v>
      </c>
      <c r="F66" s="1">
        <v>0.22</v>
      </c>
      <c r="G66">
        <v>-16</v>
      </c>
      <c r="H66">
        <f>IF(ISBLANK(G66),"",ABS(G66))</f>
        <v>16</v>
      </c>
      <c r="I66" t="s">
        <v>85</v>
      </c>
      <c r="J66">
        <f t="shared" si="0"/>
        <v>2.9</v>
      </c>
      <c r="K66" t="str">
        <f t="shared" si="1"/>
        <v>POOR</v>
      </c>
      <c r="L66" t="str">
        <f t="shared" si="2"/>
        <v>MEDIUM</v>
      </c>
      <c r="M66" s="4">
        <f t="shared" si="3"/>
        <v>7.468858520900322</v>
      </c>
    </row>
    <row r="67" spans="1:13" x14ac:dyDescent="0.25">
      <c r="A67" t="s">
        <v>86</v>
      </c>
      <c r="B67" s="4">
        <v>990</v>
      </c>
      <c r="C67" s="4">
        <v>1814</v>
      </c>
      <c r="D67" s="4">
        <f>C67-B67</f>
        <v>824</v>
      </c>
      <c r="E67" s="6">
        <f>D67/C67</f>
        <v>0.45424476295479604</v>
      </c>
      <c r="F67" s="1">
        <v>0.45</v>
      </c>
      <c r="G67">
        <v>-6</v>
      </c>
      <c r="H67">
        <f>IF(ISBLANK(G67),"",ABS(G67))</f>
        <v>6</v>
      </c>
      <c r="I67" t="s">
        <v>87</v>
      </c>
      <c r="J67">
        <f t="shared" ref="J67:J113" si="4">IF(I67="","",VALUE(TRIM(LEFT(I67,(FIND(" ",I67))))))</f>
        <v>2.2000000000000002</v>
      </c>
      <c r="K67" t="str">
        <f t="shared" ref="K67:K113" si="5">IF(J67="","",IF(J67&lt;3,"POOR",IF(J67&gt;4,"EXCELLENT","AVERAGE")))</f>
        <v>POOR</v>
      </c>
      <c r="L67" t="str">
        <f t="shared" ref="L67:L113" si="6">IF(E67="","",IF(E67&lt;20%,"LOW DISCOUNT",IF(E67&gt;40%,"HIGH DISCOUNT","MEDIUM")))</f>
        <v>HIGH DISCOUNT</v>
      </c>
      <c r="M67" s="4">
        <f t="shared" ref="M67:M113" si="7">IF(J67="","",(J67*$O$21)+(H67*$O$22)+(E67*$O$23))</f>
        <v>3.2835611907386992</v>
      </c>
    </row>
    <row r="68" spans="1:13" x14ac:dyDescent="0.25">
      <c r="A68" t="s">
        <v>88</v>
      </c>
      <c r="B68" s="4">
        <v>1000</v>
      </c>
      <c r="C68" s="4">
        <v>2000</v>
      </c>
      <c r="D68" s="4">
        <f>C68-B68</f>
        <v>1000</v>
      </c>
      <c r="E68" s="6">
        <f>D68/C68</f>
        <v>0.5</v>
      </c>
      <c r="F68" s="1">
        <v>0.5</v>
      </c>
      <c r="G68">
        <v>-7</v>
      </c>
      <c r="H68">
        <f>IF(ISBLANK(G68),"",ABS(G68))</f>
        <v>7</v>
      </c>
      <c r="I68" t="s">
        <v>89</v>
      </c>
      <c r="J68">
        <f t="shared" si="4"/>
        <v>2.2999999999999998</v>
      </c>
      <c r="K68" t="str">
        <f t="shared" si="5"/>
        <v>POOR</v>
      </c>
      <c r="L68" t="str">
        <f t="shared" si="6"/>
        <v>HIGH DISCOUNT</v>
      </c>
      <c r="M68" s="4">
        <f t="shared" si="7"/>
        <v>3.7300000000000004</v>
      </c>
    </row>
    <row r="69" spans="1:13" x14ac:dyDescent="0.25">
      <c r="A69" t="s">
        <v>90</v>
      </c>
      <c r="B69" s="4">
        <v>3750</v>
      </c>
      <c r="C69" s="4">
        <v>6143</v>
      </c>
      <c r="D69" s="4">
        <f>C69-B69</f>
        <v>2393</v>
      </c>
      <c r="E69" s="6">
        <f>D69/C69</f>
        <v>0.38954908025394758</v>
      </c>
      <c r="F69" s="1">
        <v>0.39</v>
      </c>
      <c r="G69">
        <v>-5</v>
      </c>
      <c r="H69">
        <f>IF(ISBLANK(G69),"",ABS(G69))</f>
        <v>5</v>
      </c>
      <c r="I69" t="s">
        <v>77</v>
      </c>
      <c r="J69">
        <f t="shared" si="4"/>
        <v>3</v>
      </c>
      <c r="K69" t="str">
        <f t="shared" si="5"/>
        <v>AVERAGE</v>
      </c>
      <c r="L69" t="str">
        <f t="shared" si="6"/>
        <v>MEDIUM</v>
      </c>
      <c r="M69" s="4">
        <f t="shared" si="7"/>
        <v>3.1473872700634868</v>
      </c>
    </row>
    <row r="70" spans="1:13" x14ac:dyDescent="0.25">
      <c r="A70" t="s">
        <v>91</v>
      </c>
      <c r="B70" s="4">
        <v>382</v>
      </c>
      <c r="C70" s="4">
        <v>700</v>
      </c>
      <c r="D70" s="4">
        <f>C70-B70</f>
        <v>318</v>
      </c>
      <c r="E70" s="6">
        <f>D70/C70</f>
        <v>0.45428571428571429</v>
      </c>
      <c r="F70" s="1">
        <v>0.45</v>
      </c>
      <c r="G70">
        <v>-17</v>
      </c>
      <c r="H70">
        <f>IF(ISBLANK(G70),"",ABS(G70))</f>
        <v>17</v>
      </c>
      <c r="I70" t="s">
        <v>92</v>
      </c>
      <c r="J70">
        <f t="shared" si="4"/>
        <v>2.6</v>
      </c>
      <c r="K70" t="str">
        <f t="shared" si="5"/>
        <v>POOR</v>
      </c>
      <c r="L70" t="str">
        <f t="shared" si="6"/>
        <v>HIGH DISCOUNT</v>
      </c>
      <c r="M70" s="4">
        <f t="shared" si="7"/>
        <v>7.8235714285714293</v>
      </c>
    </row>
    <row r="71" spans="1:13" x14ac:dyDescent="0.25">
      <c r="A71" t="s">
        <v>93</v>
      </c>
      <c r="B71" s="4">
        <v>2300</v>
      </c>
      <c r="C71" s="4">
        <v>3240</v>
      </c>
      <c r="D71" s="4">
        <f>C71-B71</f>
        <v>940</v>
      </c>
      <c r="E71" s="6">
        <f>D71/C71</f>
        <v>0.29012345679012347</v>
      </c>
      <c r="F71" s="1">
        <v>0.28999999999999998</v>
      </c>
      <c r="G71">
        <v>-5</v>
      </c>
      <c r="H71">
        <f>IF(ISBLANK(G71),"",ABS(G71))</f>
        <v>5</v>
      </c>
      <c r="I71" t="s">
        <v>77</v>
      </c>
      <c r="J71">
        <f t="shared" si="4"/>
        <v>3</v>
      </c>
      <c r="K71" t="str">
        <f t="shared" si="5"/>
        <v>AVERAGE</v>
      </c>
      <c r="L71" t="str">
        <f t="shared" si="6"/>
        <v>MEDIUM</v>
      </c>
      <c r="M71" s="4">
        <f t="shared" si="7"/>
        <v>3.1225308641975307</v>
      </c>
    </row>
    <row r="72" spans="1:13" x14ac:dyDescent="0.25">
      <c r="A72" t="s">
        <v>94</v>
      </c>
      <c r="B72" s="4">
        <v>345</v>
      </c>
      <c r="C72" s="4">
        <v>602</v>
      </c>
      <c r="D72" s="4">
        <f>C72-B72</f>
        <v>257</v>
      </c>
      <c r="E72" s="6">
        <f>D72/C72</f>
        <v>0.42691029900332228</v>
      </c>
      <c r="F72" s="1">
        <v>0.43</v>
      </c>
      <c r="G72">
        <v>-6</v>
      </c>
      <c r="H72">
        <f>IF(ISBLANK(G72),"",ABS(G72))</f>
        <v>6</v>
      </c>
      <c r="I72" t="s">
        <v>89</v>
      </c>
      <c r="J72">
        <f t="shared" si="4"/>
        <v>2.2999999999999998</v>
      </c>
      <c r="K72" t="str">
        <f t="shared" si="5"/>
        <v>POOR</v>
      </c>
      <c r="L72" t="str">
        <f t="shared" si="6"/>
        <v>HIGH DISCOUNT</v>
      </c>
      <c r="M72" s="4">
        <f t="shared" si="7"/>
        <v>3.3117275747508308</v>
      </c>
    </row>
    <row r="73" spans="1:13" x14ac:dyDescent="0.25">
      <c r="A73" t="s">
        <v>95</v>
      </c>
      <c r="B73" s="4">
        <v>509</v>
      </c>
      <c r="C73" s="4">
        <v>899</v>
      </c>
      <c r="D73" s="4">
        <f>C73-B73</f>
        <v>390</v>
      </c>
      <c r="E73" s="6">
        <f>D73/C73</f>
        <v>0.43381535038932145</v>
      </c>
      <c r="F73" s="1">
        <v>0.43</v>
      </c>
      <c r="G73">
        <v>-5</v>
      </c>
      <c r="H73">
        <f>IF(ISBLANK(G73),"",ABS(G73))</f>
        <v>5</v>
      </c>
      <c r="I73" t="s">
        <v>77</v>
      </c>
      <c r="J73">
        <f t="shared" si="4"/>
        <v>3</v>
      </c>
      <c r="K73" t="str">
        <f t="shared" si="5"/>
        <v>AVERAGE</v>
      </c>
      <c r="L73" t="str">
        <f t="shared" si="6"/>
        <v>HIGH DISCOUNT</v>
      </c>
      <c r="M73" s="4">
        <f t="shared" si="7"/>
        <v>3.1584538375973303</v>
      </c>
    </row>
    <row r="74" spans="1:13" x14ac:dyDescent="0.25">
      <c r="A74" t="s">
        <v>96</v>
      </c>
      <c r="B74" s="4">
        <v>968</v>
      </c>
      <c r="C74" s="4">
        <v>1814</v>
      </c>
      <c r="D74" s="4">
        <f>C74-B74</f>
        <v>846</v>
      </c>
      <c r="E74" s="6">
        <f>D74/C74</f>
        <v>0.46637265711135611</v>
      </c>
      <c r="F74" s="1">
        <v>0.47</v>
      </c>
      <c r="G74">
        <v>-6</v>
      </c>
      <c r="H74">
        <f>IF(ISBLANK(G74),"",ABS(G74))</f>
        <v>6</v>
      </c>
      <c r="I74" t="s">
        <v>87</v>
      </c>
      <c r="J74">
        <f t="shared" si="4"/>
        <v>2.2000000000000002</v>
      </c>
      <c r="K74" t="str">
        <f t="shared" si="5"/>
        <v>POOR</v>
      </c>
      <c r="L74" t="str">
        <f t="shared" si="6"/>
        <v>HIGH DISCOUNT</v>
      </c>
      <c r="M74" s="4">
        <f t="shared" si="7"/>
        <v>3.2865931642778392</v>
      </c>
    </row>
    <row r="75" spans="1:13" x14ac:dyDescent="0.25">
      <c r="A75" t="s">
        <v>97</v>
      </c>
      <c r="B75" s="4">
        <v>1570</v>
      </c>
      <c r="C75" s="4">
        <v>2988</v>
      </c>
      <c r="D75" s="4">
        <f>C75-B75</f>
        <v>1418</v>
      </c>
      <c r="E75" s="6">
        <f>D75/C75</f>
        <v>0.4745649263721553</v>
      </c>
      <c r="F75" s="1">
        <v>0.47</v>
      </c>
      <c r="G75">
        <v>-7</v>
      </c>
      <c r="H75">
        <f>IF(ISBLANK(G75),"",ABS(G75))</f>
        <v>7</v>
      </c>
      <c r="I75" t="s">
        <v>79</v>
      </c>
      <c r="J75">
        <f t="shared" si="4"/>
        <v>2.1</v>
      </c>
      <c r="K75" t="str">
        <f t="shared" si="5"/>
        <v>POOR</v>
      </c>
      <c r="L75" t="str">
        <f t="shared" si="6"/>
        <v>HIGH DISCOUNT</v>
      </c>
      <c r="M75" s="4">
        <f t="shared" si="7"/>
        <v>3.6536412315930389</v>
      </c>
    </row>
    <row r="76" spans="1:13" x14ac:dyDescent="0.25">
      <c r="A76" t="s">
        <v>98</v>
      </c>
      <c r="B76" s="4">
        <v>790</v>
      </c>
      <c r="C76" s="4">
        <v>1485</v>
      </c>
      <c r="D76" s="4">
        <f>C76-B76</f>
        <v>695</v>
      </c>
      <c r="E76" s="6">
        <f>D76/C76</f>
        <v>0.46801346801346799</v>
      </c>
      <c r="F76" s="1">
        <v>0.47</v>
      </c>
      <c r="H76" t="str">
        <f>IF(ISBLANK(G76),"",ABS(G76))</f>
        <v/>
      </c>
      <c r="J76" t="str">
        <f t="shared" si="4"/>
        <v/>
      </c>
      <c r="K76" t="str">
        <f t="shared" si="5"/>
        <v/>
      </c>
      <c r="L76" t="str">
        <f t="shared" si="6"/>
        <v>HIGH DISCOUNT</v>
      </c>
      <c r="M76" s="4" t="str">
        <f t="shared" si="7"/>
        <v/>
      </c>
    </row>
    <row r="77" spans="1:13" x14ac:dyDescent="0.25">
      <c r="A77" t="s">
        <v>99</v>
      </c>
      <c r="B77" s="4">
        <v>690</v>
      </c>
      <c r="C77" s="4">
        <v>1200</v>
      </c>
      <c r="D77" s="4">
        <f>C77-B77</f>
        <v>510</v>
      </c>
      <c r="E77" s="6">
        <f>D77/C77</f>
        <v>0.42499999999999999</v>
      </c>
      <c r="F77" s="1">
        <v>0.43</v>
      </c>
      <c r="H77" t="str">
        <f>IF(ISBLANK(G77),"",ABS(G77))</f>
        <v/>
      </c>
      <c r="J77" t="str">
        <f t="shared" si="4"/>
        <v/>
      </c>
      <c r="K77" t="str">
        <f t="shared" si="5"/>
        <v/>
      </c>
      <c r="L77" t="str">
        <f t="shared" si="6"/>
        <v>HIGH DISCOUNT</v>
      </c>
      <c r="M77" s="4" t="str">
        <f t="shared" si="7"/>
        <v/>
      </c>
    </row>
    <row r="78" spans="1:13" x14ac:dyDescent="0.25">
      <c r="A78" t="s">
        <v>100</v>
      </c>
      <c r="B78" s="4">
        <v>1732</v>
      </c>
      <c r="C78" s="4">
        <v>1799</v>
      </c>
      <c r="D78" s="4">
        <f>C78-B78</f>
        <v>67</v>
      </c>
      <c r="E78" s="6">
        <f>D78/C78</f>
        <v>3.7242912729294052E-2</v>
      </c>
      <c r="F78" s="1">
        <v>0.04</v>
      </c>
      <c r="H78" t="str">
        <f>IF(ISBLANK(G78),"",ABS(G78))</f>
        <v/>
      </c>
      <c r="J78" t="str">
        <f t="shared" si="4"/>
        <v/>
      </c>
      <c r="K78" t="str">
        <f t="shared" si="5"/>
        <v/>
      </c>
      <c r="L78" t="str">
        <f t="shared" si="6"/>
        <v>LOW DISCOUNT</v>
      </c>
      <c r="M78" s="4" t="str">
        <f t="shared" si="7"/>
        <v/>
      </c>
    </row>
    <row r="79" spans="1:13" x14ac:dyDescent="0.25">
      <c r="A79" t="s">
        <v>101</v>
      </c>
      <c r="B79" s="4">
        <v>230</v>
      </c>
      <c r="C79" s="4">
        <v>450</v>
      </c>
      <c r="D79" s="4">
        <f>C79-B79</f>
        <v>220</v>
      </c>
      <c r="E79" s="6">
        <f>D79/C79</f>
        <v>0.48888888888888887</v>
      </c>
      <c r="F79" s="1">
        <v>0.49</v>
      </c>
      <c r="H79" t="str">
        <f>IF(ISBLANK(G79),"",ABS(G79))</f>
        <v/>
      </c>
      <c r="J79" t="str">
        <f t="shared" si="4"/>
        <v/>
      </c>
      <c r="K79" t="str">
        <f t="shared" si="5"/>
        <v/>
      </c>
      <c r="L79" t="str">
        <f t="shared" si="6"/>
        <v>HIGH DISCOUNT</v>
      </c>
      <c r="M79" s="4" t="str">
        <f t="shared" si="7"/>
        <v/>
      </c>
    </row>
    <row r="80" spans="1:13" x14ac:dyDescent="0.25">
      <c r="A80" t="s">
        <v>102</v>
      </c>
      <c r="B80" s="4">
        <v>1189</v>
      </c>
      <c r="C80" s="4">
        <v>2199</v>
      </c>
      <c r="D80" s="4">
        <f>C80-B80</f>
        <v>1010</v>
      </c>
      <c r="E80" s="6">
        <f>D80/C80</f>
        <v>0.45929968167348795</v>
      </c>
      <c r="F80" s="1">
        <v>0.46</v>
      </c>
      <c r="G80">
        <v>-1</v>
      </c>
      <c r="H80">
        <f>IF(ISBLANK(G80),"",ABS(G80))</f>
        <v>1</v>
      </c>
      <c r="I80" t="s">
        <v>77</v>
      </c>
      <c r="J80">
        <f t="shared" si="4"/>
        <v>3</v>
      </c>
      <c r="K80" t="str">
        <f t="shared" si="5"/>
        <v>AVERAGE</v>
      </c>
      <c r="L80" t="str">
        <f t="shared" si="6"/>
        <v>HIGH DISCOUNT</v>
      </c>
      <c r="M80" s="4">
        <f t="shared" si="7"/>
        <v>1.5648249204183717</v>
      </c>
    </row>
    <row r="81" spans="1:13" x14ac:dyDescent="0.25">
      <c r="A81" t="s">
        <v>103</v>
      </c>
      <c r="B81" s="4">
        <v>979</v>
      </c>
      <c r="C81" s="4">
        <v>1920</v>
      </c>
      <c r="D81" s="4">
        <f>C81-B81</f>
        <v>941</v>
      </c>
      <c r="E81" s="6">
        <f>D81/C81</f>
        <v>0.49010416666666667</v>
      </c>
      <c r="F81" s="1">
        <v>0.49</v>
      </c>
      <c r="G81">
        <v>-1</v>
      </c>
      <c r="H81">
        <f>IF(ISBLANK(G81),"",ABS(G81))</f>
        <v>1</v>
      </c>
      <c r="I81" t="s">
        <v>29</v>
      </c>
      <c r="J81">
        <f t="shared" si="4"/>
        <v>5</v>
      </c>
      <c r="K81" t="str">
        <f t="shared" si="5"/>
        <v>EXCELLENT</v>
      </c>
      <c r="L81" t="str">
        <f t="shared" si="6"/>
        <v>HIGH DISCOUNT</v>
      </c>
      <c r="M81" s="4">
        <f t="shared" si="7"/>
        <v>2.2725260416666666</v>
      </c>
    </row>
    <row r="82" spans="1:13" x14ac:dyDescent="0.25">
      <c r="A82" t="s">
        <v>104</v>
      </c>
      <c r="B82" s="4">
        <v>1460</v>
      </c>
      <c r="C82" s="4">
        <v>2290</v>
      </c>
      <c r="D82" s="4">
        <f>C82-B82</f>
        <v>830</v>
      </c>
      <c r="E82" s="6">
        <f>D82/C82</f>
        <v>0.36244541484716158</v>
      </c>
      <c r="F82" s="1">
        <v>0.36</v>
      </c>
      <c r="H82" t="str">
        <f>IF(ISBLANK(G82),"",ABS(G82))</f>
        <v/>
      </c>
      <c r="J82" t="str">
        <f t="shared" si="4"/>
        <v/>
      </c>
      <c r="K82" t="str">
        <f t="shared" si="5"/>
        <v/>
      </c>
      <c r="L82" t="str">
        <f t="shared" si="6"/>
        <v>MEDIUM</v>
      </c>
      <c r="M82" s="4" t="str">
        <f t="shared" si="7"/>
        <v/>
      </c>
    </row>
    <row r="83" spans="1:13" x14ac:dyDescent="0.25">
      <c r="A83" t="s">
        <v>105</v>
      </c>
      <c r="B83" s="4">
        <v>1666</v>
      </c>
      <c r="C83" s="4">
        <v>1699</v>
      </c>
      <c r="D83" s="4">
        <f>C83-B83</f>
        <v>33</v>
      </c>
      <c r="E83" s="6">
        <f>D83/C83</f>
        <v>1.9423190111830489E-2</v>
      </c>
      <c r="F83" s="1">
        <v>0.02</v>
      </c>
      <c r="H83" t="str">
        <f>IF(ISBLANK(G83),"",ABS(G83))</f>
        <v/>
      </c>
      <c r="J83" t="str">
        <f t="shared" si="4"/>
        <v/>
      </c>
      <c r="K83" t="str">
        <f t="shared" si="5"/>
        <v/>
      </c>
      <c r="L83" t="str">
        <f t="shared" si="6"/>
        <v>LOW DISCOUNT</v>
      </c>
      <c r="M83" s="4" t="str">
        <f t="shared" si="7"/>
        <v/>
      </c>
    </row>
    <row r="84" spans="1:13" x14ac:dyDescent="0.25">
      <c r="A84" t="s">
        <v>106</v>
      </c>
      <c r="B84" s="4">
        <v>330</v>
      </c>
      <c r="C84" s="4">
        <v>647</v>
      </c>
      <c r="D84" s="4">
        <f>C84-B84</f>
        <v>317</v>
      </c>
      <c r="E84" s="6">
        <f>D84/C84</f>
        <v>0.48995363214837712</v>
      </c>
      <c r="F84" s="1">
        <v>0.49</v>
      </c>
      <c r="G84">
        <v>-1</v>
      </c>
      <c r="H84">
        <f>IF(ISBLANK(G84),"",ABS(G84))</f>
        <v>1</v>
      </c>
      <c r="I84" t="s">
        <v>16</v>
      </c>
      <c r="J84">
        <f t="shared" si="4"/>
        <v>4</v>
      </c>
      <c r="K84" t="str">
        <f t="shared" si="5"/>
        <v>AVERAGE</v>
      </c>
      <c r="L84" t="str">
        <f t="shared" si="6"/>
        <v>HIGH DISCOUNT</v>
      </c>
      <c r="M84" s="4">
        <f t="shared" si="7"/>
        <v>1.9224884080370941</v>
      </c>
    </row>
    <row r="85" spans="1:13" x14ac:dyDescent="0.25">
      <c r="A85" t="s">
        <v>64</v>
      </c>
      <c r="B85" s="4">
        <v>176</v>
      </c>
      <c r="C85" s="4">
        <v>345</v>
      </c>
      <c r="D85" s="4">
        <f>C85-B85</f>
        <v>169</v>
      </c>
      <c r="E85" s="6">
        <f>D85/C85</f>
        <v>0.48985507246376814</v>
      </c>
      <c r="F85" s="1">
        <v>0.49</v>
      </c>
      <c r="H85" t="str">
        <f>IF(ISBLANK(G85),"",ABS(G85))</f>
        <v/>
      </c>
      <c r="J85" t="str">
        <f t="shared" si="4"/>
        <v/>
      </c>
      <c r="K85" t="str">
        <f t="shared" si="5"/>
        <v/>
      </c>
      <c r="L85" t="str">
        <f t="shared" si="6"/>
        <v>HIGH DISCOUNT</v>
      </c>
      <c r="M85" s="4" t="str">
        <f t="shared" si="7"/>
        <v/>
      </c>
    </row>
    <row r="86" spans="1:13" x14ac:dyDescent="0.25">
      <c r="A86" t="s">
        <v>107</v>
      </c>
      <c r="B86" s="4">
        <v>1466</v>
      </c>
      <c r="C86" s="4">
        <v>1699</v>
      </c>
      <c r="D86" s="4">
        <f>C86-B86</f>
        <v>233</v>
      </c>
      <c r="E86" s="6">
        <f>D86/C86</f>
        <v>0.13713949381989404</v>
      </c>
      <c r="F86" s="1">
        <v>0.14000000000000001</v>
      </c>
      <c r="H86" t="str">
        <f>IF(ISBLANK(G86),"",ABS(G86))</f>
        <v/>
      </c>
      <c r="J86" t="str">
        <f t="shared" si="4"/>
        <v/>
      </c>
      <c r="K86" t="str">
        <f t="shared" si="5"/>
        <v/>
      </c>
      <c r="L86" t="str">
        <f t="shared" si="6"/>
        <v>LOW DISCOUNT</v>
      </c>
      <c r="M86" s="4" t="str">
        <f t="shared" si="7"/>
        <v/>
      </c>
    </row>
    <row r="87" spans="1:13" x14ac:dyDescent="0.25">
      <c r="A87" t="s">
        <v>108</v>
      </c>
      <c r="B87" s="4">
        <v>274</v>
      </c>
      <c r="C87" s="4">
        <v>537</v>
      </c>
      <c r="D87" s="4">
        <f>C87-B87</f>
        <v>263</v>
      </c>
      <c r="E87" s="6">
        <f>D87/C87</f>
        <v>0.48975791433891991</v>
      </c>
      <c r="F87" s="1">
        <v>0.49</v>
      </c>
      <c r="H87" t="str">
        <f>IF(ISBLANK(G87),"",ABS(G87))</f>
        <v/>
      </c>
      <c r="J87" t="str">
        <f t="shared" si="4"/>
        <v/>
      </c>
      <c r="K87" t="str">
        <f t="shared" si="5"/>
        <v/>
      </c>
      <c r="L87" t="str">
        <f t="shared" si="6"/>
        <v>HIGH DISCOUNT</v>
      </c>
      <c r="M87" s="4" t="str">
        <f t="shared" si="7"/>
        <v/>
      </c>
    </row>
    <row r="88" spans="1:13" x14ac:dyDescent="0.25">
      <c r="A88" t="s">
        <v>109</v>
      </c>
      <c r="B88" s="4">
        <v>799</v>
      </c>
      <c r="C88" s="4">
        <v>900</v>
      </c>
      <c r="D88" s="4">
        <f>C88-B88</f>
        <v>101</v>
      </c>
      <c r="E88" s="6">
        <f>D88/C88</f>
        <v>0.11222222222222222</v>
      </c>
      <c r="F88" s="1">
        <v>0.11</v>
      </c>
      <c r="H88" t="str">
        <f>IF(ISBLANK(G88),"",ABS(G88))</f>
        <v/>
      </c>
      <c r="J88" t="str">
        <f t="shared" si="4"/>
        <v/>
      </c>
      <c r="K88" t="str">
        <f t="shared" si="5"/>
        <v/>
      </c>
      <c r="L88" t="str">
        <f t="shared" si="6"/>
        <v>LOW DISCOUNT</v>
      </c>
      <c r="M88" s="4" t="str">
        <f t="shared" si="7"/>
        <v/>
      </c>
    </row>
    <row r="89" spans="1:13" x14ac:dyDescent="0.25">
      <c r="A89" t="s">
        <v>72</v>
      </c>
      <c r="B89" s="4">
        <v>657</v>
      </c>
      <c r="C89" s="4">
        <v>1288</v>
      </c>
      <c r="D89" s="4">
        <f>C89-B89</f>
        <v>631</v>
      </c>
      <c r="E89" s="6">
        <f>D89/C89</f>
        <v>0.48990683229813664</v>
      </c>
      <c r="F89" s="1">
        <v>0.49</v>
      </c>
      <c r="H89" t="str">
        <f>IF(ISBLANK(G89),"",ABS(G89))</f>
        <v/>
      </c>
      <c r="J89" t="str">
        <f t="shared" si="4"/>
        <v/>
      </c>
      <c r="K89" t="str">
        <f t="shared" si="5"/>
        <v/>
      </c>
      <c r="L89" t="str">
        <f t="shared" si="6"/>
        <v>HIGH DISCOUNT</v>
      </c>
      <c r="M89" s="4" t="str">
        <f t="shared" si="7"/>
        <v/>
      </c>
    </row>
    <row r="90" spans="1:13" x14ac:dyDescent="0.25">
      <c r="A90" t="s">
        <v>110</v>
      </c>
      <c r="B90" s="4">
        <v>1468</v>
      </c>
      <c r="C90" s="4">
        <v>1699</v>
      </c>
      <c r="D90" s="4">
        <f>C90-B90</f>
        <v>231</v>
      </c>
      <c r="E90" s="6">
        <f>D90/C90</f>
        <v>0.13596233078281342</v>
      </c>
      <c r="F90" s="1">
        <v>0.14000000000000001</v>
      </c>
      <c r="H90" t="str">
        <f>IF(ISBLANK(G90),"",ABS(G90))</f>
        <v/>
      </c>
      <c r="J90" t="str">
        <f t="shared" si="4"/>
        <v/>
      </c>
      <c r="K90" t="str">
        <f t="shared" si="5"/>
        <v/>
      </c>
      <c r="L90" t="str">
        <f t="shared" si="6"/>
        <v>LOW DISCOUNT</v>
      </c>
      <c r="M90" s="4" t="str">
        <f t="shared" si="7"/>
        <v/>
      </c>
    </row>
    <row r="91" spans="1:13" x14ac:dyDescent="0.25">
      <c r="A91" t="s">
        <v>111</v>
      </c>
      <c r="B91" s="4">
        <v>630</v>
      </c>
      <c r="C91" s="4">
        <v>1100</v>
      </c>
      <c r="D91" s="4">
        <f>C91-B91</f>
        <v>470</v>
      </c>
      <c r="E91" s="6">
        <f>D91/C91</f>
        <v>0.42727272727272725</v>
      </c>
      <c r="F91" s="1">
        <v>0.43</v>
      </c>
      <c r="H91" t="str">
        <f>IF(ISBLANK(G91),"",ABS(G91))</f>
        <v/>
      </c>
      <c r="J91" t="str">
        <f t="shared" si="4"/>
        <v/>
      </c>
      <c r="K91" t="str">
        <f t="shared" si="5"/>
        <v/>
      </c>
      <c r="L91" t="str">
        <f t="shared" si="6"/>
        <v>HIGH DISCOUNT</v>
      </c>
      <c r="M91" s="4" t="str">
        <f t="shared" si="7"/>
        <v/>
      </c>
    </row>
    <row r="92" spans="1:13" x14ac:dyDescent="0.25">
      <c r="A92" t="s">
        <v>112</v>
      </c>
      <c r="B92" s="4">
        <v>850</v>
      </c>
      <c r="C92" s="4">
        <v>1700</v>
      </c>
      <c r="D92" s="4">
        <f>C92-B92</f>
        <v>850</v>
      </c>
      <c r="E92" s="6">
        <f>D92/C92</f>
        <v>0.5</v>
      </c>
      <c r="F92" s="1">
        <v>0.5</v>
      </c>
      <c r="H92" t="str">
        <f>IF(ISBLANK(G92),"",ABS(G92))</f>
        <v/>
      </c>
      <c r="J92" t="str">
        <f t="shared" si="4"/>
        <v/>
      </c>
      <c r="K92" t="str">
        <f t="shared" si="5"/>
        <v/>
      </c>
      <c r="L92" t="str">
        <f t="shared" si="6"/>
        <v>HIGH DISCOUNT</v>
      </c>
      <c r="M92" s="4" t="str">
        <f t="shared" si="7"/>
        <v/>
      </c>
    </row>
    <row r="93" spans="1:13" x14ac:dyDescent="0.25">
      <c r="A93" t="s">
        <v>113</v>
      </c>
      <c r="B93" s="4">
        <v>1300</v>
      </c>
      <c r="C93" s="4">
        <v>2500</v>
      </c>
      <c r="D93" s="4">
        <f>C93-B93</f>
        <v>1200</v>
      </c>
      <c r="E93" s="6">
        <f>D93/C93</f>
        <v>0.48</v>
      </c>
      <c r="F93" s="1">
        <v>0.48</v>
      </c>
      <c r="H93" t="str">
        <f>IF(ISBLANK(G93),"",ABS(G93))</f>
        <v/>
      </c>
      <c r="J93" t="str">
        <f t="shared" si="4"/>
        <v/>
      </c>
      <c r="K93" t="str">
        <f t="shared" si="5"/>
        <v/>
      </c>
      <c r="L93" t="str">
        <f t="shared" si="6"/>
        <v>HIGH DISCOUNT</v>
      </c>
      <c r="M93" s="4" t="str">
        <f t="shared" si="7"/>
        <v/>
      </c>
    </row>
    <row r="94" spans="1:13" x14ac:dyDescent="0.25">
      <c r="A94" t="s">
        <v>114</v>
      </c>
      <c r="B94" s="4">
        <v>105</v>
      </c>
      <c r="C94" s="4">
        <v>200</v>
      </c>
      <c r="D94" s="4">
        <f>C94-B94</f>
        <v>95</v>
      </c>
      <c r="E94" s="6">
        <f>D94/C94</f>
        <v>0.47499999999999998</v>
      </c>
      <c r="F94" s="1">
        <v>0.48</v>
      </c>
      <c r="H94" t="str">
        <f>IF(ISBLANK(G94),"",ABS(G94))</f>
        <v/>
      </c>
      <c r="J94" t="str">
        <f t="shared" si="4"/>
        <v/>
      </c>
      <c r="K94" t="str">
        <f t="shared" si="5"/>
        <v/>
      </c>
      <c r="L94" t="str">
        <f t="shared" si="6"/>
        <v>HIGH DISCOUNT</v>
      </c>
      <c r="M94" s="4" t="str">
        <f t="shared" si="7"/>
        <v/>
      </c>
    </row>
    <row r="95" spans="1:13" x14ac:dyDescent="0.25">
      <c r="A95" t="s">
        <v>115</v>
      </c>
      <c r="B95" s="4">
        <v>899</v>
      </c>
      <c r="C95" s="4">
        <v>1699</v>
      </c>
      <c r="D95" s="4">
        <f>C95-B95</f>
        <v>800</v>
      </c>
      <c r="E95" s="6">
        <f>D95/C95</f>
        <v>0.47086521483225424</v>
      </c>
      <c r="F95" s="1">
        <v>0.47</v>
      </c>
      <c r="H95" t="str">
        <f>IF(ISBLANK(G95),"",ABS(G95))</f>
        <v/>
      </c>
      <c r="J95" t="str">
        <f t="shared" si="4"/>
        <v/>
      </c>
      <c r="K95" t="str">
        <f t="shared" si="5"/>
        <v/>
      </c>
      <c r="L95" t="str">
        <f t="shared" si="6"/>
        <v>HIGH DISCOUNT</v>
      </c>
      <c r="M95" s="4" t="str">
        <f t="shared" si="7"/>
        <v/>
      </c>
    </row>
    <row r="96" spans="1:13" x14ac:dyDescent="0.25">
      <c r="A96" t="s">
        <v>116</v>
      </c>
      <c r="B96" s="4">
        <v>1200</v>
      </c>
      <c r="C96" s="4">
        <v>2400</v>
      </c>
      <c r="D96" s="4">
        <f>C96-B96</f>
        <v>1200</v>
      </c>
      <c r="E96" s="6">
        <f>D96/C96</f>
        <v>0.5</v>
      </c>
      <c r="F96" s="1">
        <v>0.5</v>
      </c>
      <c r="H96" t="str">
        <f>IF(ISBLANK(G96),"",ABS(G96))</f>
        <v/>
      </c>
      <c r="J96" t="str">
        <f t="shared" si="4"/>
        <v/>
      </c>
      <c r="K96" t="str">
        <f t="shared" si="5"/>
        <v/>
      </c>
      <c r="L96" t="str">
        <f t="shared" si="6"/>
        <v>HIGH DISCOUNT</v>
      </c>
      <c r="M96" s="4" t="str">
        <f t="shared" si="7"/>
        <v/>
      </c>
    </row>
    <row r="97" spans="1:13" x14ac:dyDescent="0.25">
      <c r="A97" t="s">
        <v>117</v>
      </c>
      <c r="B97" s="4">
        <v>1526</v>
      </c>
      <c r="C97" s="4">
        <v>1660</v>
      </c>
      <c r="D97" s="4">
        <f>C97-B97</f>
        <v>134</v>
      </c>
      <c r="E97" s="6">
        <f>D97/C97</f>
        <v>8.0722891566265054E-2</v>
      </c>
      <c r="F97" s="1">
        <v>0.08</v>
      </c>
      <c r="H97" t="str">
        <f>IF(ISBLANK(G97),"",ABS(G97))</f>
        <v/>
      </c>
      <c r="J97" t="str">
        <f t="shared" si="4"/>
        <v/>
      </c>
      <c r="K97" t="str">
        <f t="shared" si="5"/>
        <v/>
      </c>
      <c r="L97" t="str">
        <f t="shared" si="6"/>
        <v>LOW DISCOUNT</v>
      </c>
      <c r="M97" s="4" t="str">
        <f t="shared" si="7"/>
        <v/>
      </c>
    </row>
    <row r="98" spans="1:13" x14ac:dyDescent="0.25">
      <c r="A98" t="s">
        <v>118</v>
      </c>
      <c r="B98" s="4">
        <v>1462</v>
      </c>
      <c r="C98" s="4">
        <v>1499</v>
      </c>
      <c r="D98" s="4">
        <f>C98-B98</f>
        <v>37</v>
      </c>
      <c r="E98" s="6">
        <f>D98/C98</f>
        <v>2.4683122081387593E-2</v>
      </c>
      <c r="F98" s="1">
        <v>0.02</v>
      </c>
      <c r="H98" t="str">
        <f>IF(ISBLANK(G98),"",ABS(G98))</f>
        <v/>
      </c>
      <c r="J98" t="str">
        <f t="shared" si="4"/>
        <v/>
      </c>
      <c r="K98" t="str">
        <f t="shared" si="5"/>
        <v/>
      </c>
      <c r="L98" t="str">
        <f t="shared" si="6"/>
        <v>LOW DISCOUNT</v>
      </c>
      <c r="M98" s="4" t="str">
        <f t="shared" si="7"/>
        <v/>
      </c>
    </row>
    <row r="99" spans="1:13" x14ac:dyDescent="0.25">
      <c r="A99" t="s">
        <v>119</v>
      </c>
      <c r="B99" s="4">
        <v>248</v>
      </c>
      <c r="C99" s="4">
        <v>486</v>
      </c>
      <c r="D99" s="4">
        <f>C99-B99</f>
        <v>238</v>
      </c>
      <c r="E99" s="6">
        <f>D99/C99</f>
        <v>0.48971193415637859</v>
      </c>
      <c r="F99" s="1">
        <v>0.49</v>
      </c>
      <c r="H99" t="str">
        <f>IF(ISBLANK(G99),"",ABS(G99))</f>
        <v/>
      </c>
      <c r="J99" t="str">
        <f t="shared" si="4"/>
        <v/>
      </c>
      <c r="K99" t="str">
        <f t="shared" si="5"/>
        <v/>
      </c>
      <c r="L99" t="str">
        <f t="shared" si="6"/>
        <v>HIGH DISCOUNT</v>
      </c>
      <c r="M99" s="4" t="str">
        <f t="shared" si="7"/>
        <v/>
      </c>
    </row>
    <row r="100" spans="1:13" x14ac:dyDescent="0.25">
      <c r="A100" t="s">
        <v>120</v>
      </c>
      <c r="B100" s="4">
        <v>3546</v>
      </c>
      <c r="C100" s="4">
        <v>3699</v>
      </c>
      <c r="D100" s="4">
        <f>C100-B100</f>
        <v>153</v>
      </c>
      <c r="E100" s="6">
        <f>D100/C100</f>
        <v>4.1362530413625302E-2</v>
      </c>
      <c r="F100" s="1">
        <v>0.04</v>
      </c>
      <c r="H100" t="str">
        <f>IF(ISBLANK(G100),"",ABS(G100))</f>
        <v/>
      </c>
      <c r="J100" t="str">
        <f t="shared" si="4"/>
        <v/>
      </c>
      <c r="K100" t="str">
        <f t="shared" si="5"/>
        <v/>
      </c>
      <c r="L100" t="str">
        <f t="shared" si="6"/>
        <v>LOW DISCOUNT</v>
      </c>
      <c r="M100" s="4" t="str">
        <f t="shared" si="7"/>
        <v/>
      </c>
    </row>
    <row r="101" spans="1:13" x14ac:dyDescent="0.25">
      <c r="A101" t="s">
        <v>121</v>
      </c>
      <c r="B101" s="4">
        <v>525</v>
      </c>
      <c r="C101" s="4">
        <v>1029</v>
      </c>
      <c r="D101" s="4">
        <f>C101-B101</f>
        <v>504</v>
      </c>
      <c r="E101" s="6">
        <f>D101/C101</f>
        <v>0.48979591836734693</v>
      </c>
      <c r="F101" s="1">
        <v>0.49</v>
      </c>
      <c r="H101" t="str">
        <f>IF(ISBLANK(G101),"",ABS(G101))</f>
        <v/>
      </c>
      <c r="J101" t="str">
        <f t="shared" si="4"/>
        <v/>
      </c>
      <c r="K101" t="str">
        <f t="shared" si="5"/>
        <v/>
      </c>
      <c r="L101" t="str">
        <f t="shared" si="6"/>
        <v>HIGH DISCOUNT</v>
      </c>
      <c r="M101" s="4" t="str">
        <f t="shared" si="7"/>
        <v/>
      </c>
    </row>
    <row r="102" spans="1:13" x14ac:dyDescent="0.25">
      <c r="A102" t="s">
        <v>122</v>
      </c>
      <c r="B102" s="4">
        <v>1080</v>
      </c>
      <c r="C102" s="4">
        <v>1874</v>
      </c>
      <c r="D102" s="4">
        <f>C102-B102</f>
        <v>794</v>
      </c>
      <c r="E102" s="6">
        <f>D102/C102</f>
        <v>0.42369263607257202</v>
      </c>
      <c r="F102" s="1">
        <v>0.42</v>
      </c>
      <c r="H102" t="str">
        <f>IF(ISBLANK(G102),"",ABS(G102))</f>
        <v/>
      </c>
      <c r="J102" t="str">
        <f t="shared" si="4"/>
        <v/>
      </c>
      <c r="K102" t="str">
        <f t="shared" si="5"/>
        <v/>
      </c>
      <c r="L102" t="str">
        <f t="shared" si="6"/>
        <v>HIGH DISCOUNT</v>
      </c>
      <c r="M102" s="4" t="str">
        <f t="shared" si="7"/>
        <v/>
      </c>
    </row>
    <row r="103" spans="1:13" x14ac:dyDescent="0.25">
      <c r="A103" t="s">
        <v>123</v>
      </c>
      <c r="B103" s="4">
        <v>3640</v>
      </c>
      <c r="C103" s="4">
        <v>4588</v>
      </c>
      <c r="D103" s="4">
        <f>C103-B103</f>
        <v>948</v>
      </c>
      <c r="E103" s="6">
        <f>D103/C103</f>
        <v>0.20662598081952921</v>
      </c>
      <c r="F103" s="1">
        <v>0.21</v>
      </c>
      <c r="G103">
        <v>-1</v>
      </c>
      <c r="H103">
        <f>IF(ISBLANK(G103),"",ABS(G103))</f>
        <v>1</v>
      </c>
      <c r="I103" t="s">
        <v>29</v>
      </c>
      <c r="J103">
        <f t="shared" si="4"/>
        <v>5</v>
      </c>
      <c r="K103" t="str">
        <f t="shared" si="5"/>
        <v>EXCELLENT</v>
      </c>
      <c r="L103" t="str">
        <f t="shared" si="6"/>
        <v>MEDIUM</v>
      </c>
      <c r="M103" s="4">
        <f t="shared" si="7"/>
        <v>2.2016564952048823</v>
      </c>
    </row>
    <row r="104" spans="1:13" x14ac:dyDescent="0.25">
      <c r="A104" t="s">
        <v>124</v>
      </c>
      <c r="B104" s="4">
        <v>1420</v>
      </c>
      <c r="C104" s="4">
        <v>2420</v>
      </c>
      <c r="D104" s="4">
        <f>C104-B104</f>
        <v>1000</v>
      </c>
      <c r="E104" s="6">
        <f>D104/C104</f>
        <v>0.41322314049586778</v>
      </c>
      <c r="F104" s="1">
        <v>0.41</v>
      </c>
      <c r="H104" t="str">
        <f>IF(ISBLANK(G104),"",ABS(G104))</f>
        <v/>
      </c>
      <c r="J104" t="str">
        <f t="shared" si="4"/>
        <v/>
      </c>
      <c r="K104" t="str">
        <f t="shared" si="5"/>
        <v/>
      </c>
      <c r="L104" t="str">
        <f t="shared" si="6"/>
        <v>HIGH DISCOUNT</v>
      </c>
      <c r="M104" s="4" t="str">
        <f t="shared" si="7"/>
        <v/>
      </c>
    </row>
    <row r="105" spans="1:13" x14ac:dyDescent="0.25">
      <c r="A105" t="s">
        <v>125</v>
      </c>
      <c r="B105" s="4">
        <v>1875</v>
      </c>
      <c r="C105" s="4">
        <v>1899</v>
      </c>
      <c r="D105" s="4">
        <f>C105-B105</f>
        <v>24</v>
      </c>
      <c r="E105" s="6">
        <f>D105/C105</f>
        <v>1.2638230647709321E-2</v>
      </c>
      <c r="F105" s="1">
        <v>0.01</v>
      </c>
      <c r="H105" t="str">
        <f>IF(ISBLANK(G105),"",ABS(G105))</f>
        <v/>
      </c>
      <c r="J105" t="str">
        <f t="shared" si="4"/>
        <v/>
      </c>
      <c r="K105" t="str">
        <f t="shared" si="5"/>
        <v/>
      </c>
      <c r="L105" t="str">
        <f t="shared" si="6"/>
        <v>LOW DISCOUNT</v>
      </c>
      <c r="M105" s="4" t="str">
        <f t="shared" si="7"/>
        <v/>
      </c>
    </row>
    <row r="106" spans="1:13" x14ac:dyDescent="0.25">
      <c r="A106" t="s">
        <v>126</v>
      </c>
      <c r="B106" s="4">
        <v>198</v>
      </c>
      <c r="C106" s="4">
        <v>260</v>
      </c>
      <c r="D106" s="4">
        <f>C106-B106</f>
        <v>62</v>
      </c>
      <c r="E106" s="6">
        <f>D106/C106</f>
        <v>0.23846153846153847</v>
      </c>
      <c r="F106" s="1">
        <v>0.24</v>
      </c>
      <c r="H106" t="str">
        <f>IF(ISBLANK(G106),"",ABS(G106))</f>
        <v/>
      </c>
      <c r="J106" t="str">
        <f t="shared" si="4"/>
        <v/>
      </c>
      <c r="K106" t="str">
        <f t="shared" si="5"/>
        <v/>
      </c>
      <c r="L106" t="str">
        <f t="shared" si="6"/>
        <v>MEDIUM</v>
      </c>
      <c r="M106" s="4" t="str">
        <f t="shared" si="7"/>
        <v/>
      </c>
    </row>
    <row r="107" spans="1:13" x14ac:dyDescent="0.25">
      <c r="A107" t="s">
        <v>127</v>
      </c>
      <c r="B107" s="4">
        <v>1150</v>
      </c>
      <c r="C107" s="4">
        <v>1737</v>
      </c>
      <c r="D107" s="4">
        <f>C107-B107</f>
        <v>587</v>
      </c>
      <c r="E107" s="6">
        <f>D107/C107</f>
        <v>0.3379389752446747</v>
      </c>
      <c r="F107" s="1">
        <v>0.34</v>
      </c>
      <c r="H107" t="str">
        <f>IF(ISBLANK(G107),"",ABS(G107))</f>
        <v/>
      </c>
      <c r="J107" t="str">
        <f t="shared" si="4"/>
        <v/>
      </c>
      <c r="K107" t="str">
        <f t="shared" si="5"/>
        <v/>
      </c>
      <c r="L107" t="str">
        <f t="shared" si="6"/>
        <v>MEDIUM</v>
      </c>
      <c r="M107" s="4" t="str">
        <f t="shared" si="7"/>
        <v/>
      </c>
    </row>
    <row r="108" spans="1:13" x14ac:dyDescent="0.25">
      <c r="A108" t="s">
        <v>128</v>
      </c>
      <c r="B108" s="4">
        <v>1190</v>
      </c>
      <c r="C108" s="4">
        <v>1810</v>
      </c>
      <c r="D108" s="4">
        <f>C108-B108</f>
        <v>620</v>
      </c>
      <c r="E108" s="6">
        <f>D108/C108</f>
        <v>0.34254143646408841</v>
      </c>
      <c r="F108" s="1">
        <v>0.34</v>
      </c>
      <c r="H108" t="str">
        <f>IF(ISBLANK(G108),"",ABS(G108))</f>
        <v/>
      </c>
      <c r="J108" t="str">
        <f t="shared" si="4"/>
        <v/>
      </c>
      <c r="K108" t="str">
        <f t="shared" si="5"/>
        <v/>
      </c>
      <c r="L108" t="str">
        <f t="shared" si="6"/>
        <v>MEDIUM</v>
      </c>
      <c r="M108" s="4" t="str">
        <f t="shared" si="7"/>
        <v/>
      </c>
    </row>
    <row r="109" spans="1:13" x14ac:dyDescent="0.25">
      <c r="A109" t="s">
        <v>129</v>
      </c>
      <c r="B109" s="4">
        <v>1658</v>
      </c>
      <c r="C109" s="4">
        <v>1699</v>
      </c>
      <c r="D109" s="4">
        <f>C109-B109</f>
        <v>41</v>
      </c>
      <c r="E109" s="6">
        <f>D109/C109</f>
        <v>2.4131842260153032E-2</v>
      </c>
      <c r="F109" s="1">
        <v>0.02</v>
      </c>
      <c r="H109" t="str">
        <f>IF(ISBLANK(G109),"",ABS(G109))</f>
        <v/>
      </c>
      <c r="J109" t="str">
        <f t="shared" si="4"/>
        <v/>
      </c>
      <c r="K109" t="str">
        <f t="shared" si="5"/>
        <v/>
      </c>
      <c r="L109" t="str">
        <f t="shared" si="6"/>
        <v>LOW DISCOUNT</v>
      </c>
      <c r="M109" s="4" t="str">
        <f t="shared" si="7"/>
        <v/>
      </c>
    </row>
    <row r="110" spans="1:13" x14ac:dyDescent="0.25">
      <c r="A110" t="s">
        <v>130</v>
      </c>
      <c r="B110" s="4">
        <v>1768</v>
      </c>
      <c r="C110" s="4">
        <v>1799</v>
      </c>
      <c r="D110" s="4">
        <f>C110-B110</f>
        <v>31</v>
      </c>
      <c r="E110" s="6">
        <f>D110/C110</f>
        <v>1.7231795441912175E-2</v>
      </c>
      <c r="F110" s="1">
        <v>0.02</v>
      </c>
      <c r="H110" t="str">
        <f>IF(ISBLANK(G110),"",ABS(G110))</f>
        <v/>
      </c>
      <c r="J110" t="str">
        <f t="shared" si="4"/>
        <v/>
      </c>
      <c r="K110" t="str">
        <f t="shared" si="5"/>
        <v/>
      </c>
      <c r="L110" t="str">
        <f t="shared" si="6"/>
        <v>LOW DISCOUNT</v>
      </c>
      <c r="M110" s="4" t="str">
        <f t="shared" si="7"/>
        <v/>
      </c>
    </row>
    <row r="111" spans="1:13" x14ac:dyDescent="0.25">
      <c r="A111" t="s">
        <v>131</v>
      </c>
      <c r="B111" s="4">
        <v>199</v>
      </c>
      <c r="C111" s="4">
        <v>553</v>
      </c>
      <c r="D111" s="4">
        <f>C111-B111</f>
        <v>354</v>
      </c>
      <c r="E111" s="6">
        <f>D111/C111</f>
        <v>0.64014466546112114</v>
      </c>
      <c r="F111" s="1">
        <v>0.64</v>
      </c>
      <c r="H111" t="str">
        <f>IF(ISBLANK(G111),"",ABS(G111))</f>
        <v/>
      </c>
      <c r="J111" t="str">
        <f t="shared" si="4"/>
        <v/>
      </c>
      <c r="K111" t="str">
        <f t="shared" si="5"/>
        <v/>
      </c>
      <c r="L111" t="str">
        <f t="shared" si="6"/>
        <v>HIGH DISCOUNT</v>
      </c>
      <c r="M111" s="4" t="str">
        <f t="shared" si="7"/>
        <v/>
      </c>
    </row>
    <row r="112" spans="1:13" x14ac:dyDescent="0.25">
      <c r="A112" t="s">
        <v>132</v>
      </c>
      <c r="B112" s="4">
        <v>450</v>
      </c>
      <c r="C112" s="4">
        <v>900</v>
      </c>
      <c r="D112" s="4">
        <f>C112-B112</f>
        <v>450</v>
      </c>
      <c r="E112" s="6">
        <f>D112/C112</f>
        <v>0.5</v>
      </c>
      <c r="F112" s="1">
        <v>0.5</v>
      </c>
      <c r="G112">
        <v>-1</v>
      </c>
      <c r="H112">
        <f>IF(ISBLANK(G112),"",ABS(G112))</f>
        <v>1</v>
      </c>
      <c r="I112" t="s">
        <v>133</v>
      </c>
      <c r="J112">
        <f t="shared" si="4"/>
        <v>2</v>
      </c>
      <c r="K112" t="str">
        <f t="shared" si="5"/>
        <v>POOR</v>
      </c>
      <c r="L112" t="str">
        <f t="shared" si="6"/>
        <v>HIGH DISCOUNT</v>
      </c>
      <c r="M112" s="4">
        <f t="shared" si="7"/>
        <v>1.2250000000000001</v>
      </c>
    </row>
    <row r="113" spans="1:13" x14ac:dyDescent="0.25">
      <c r="A113" t="s">
        <v>134</v>
      </c>
      <c r="B113" s="4">
        <v>169</v>
      </c>
      <c r="C113" s="4">
        <v>320</v>
      </c>
      <c r="D113" s="4">
        <f>C113-B113</f>
        <v>151</v>
      </c>
      <c r="E113" s="6">
        <f>D113/C113</f>
        <v>0.47187499999999999</v>
      </c>
      <c r="F113" s="1">
        <v>0.47</v>
      </c>
      <c r="H113" t="str">
        <f>IF(ISBLANK(G113),"",ABS(G113))</f>
        <v/>
      </c>
      <c r="J113" t="str">
        <f t="shared" si="4"/>
        <v/>
      </c>
      <c r="K113" t="str">
        <f t="shared" si="5"/>
        <v/>
      </c>
      <c r="L113" t="str">
        <f t="shared" si="6"/>
        <v>HIGH DISCOUNT</v>
      </c>
      <c r="M113" s="4" t="str">
        <f t="shared" si="7"/>
        <v/>
      </c>
    </row>
    <row r="114" spans="1:13" x14ac:dyDescent="0.25">
      <c r="B114"/>
      <c r="C114"/>
      <c r="E114"/>
    </row>
    <row r="115" spans="1:13" x14ac:dyDescent="0.25">
      <c r="A115" t="s">
        <v>148</v>
      </c>
      <c r="B115" s="4">
        <f>AVERAGE(B2:B113)</f>
        <v>1186.8928571428571</v>
      </c>
      <c r="C115" s="4">
        <f>AVERAGE(C2:C113)</f>
        <v>1811.1071428571429</v>
      </c>
      <c r="E115" s="6">
        <f>AVERAGE(E2:E113)</f>
        <v>0.36714123251752773</v>
      </c>
      <c r="J115" s="4">
        <f>AVERAGE(J2:J113)</f>
        <v>3.8894736842105258</v>
      </c>
    </row>
    <row r="116" spans="1:13" x14ac:dyDescent="0.25">
      <c r="A116" t="s">
        <v>149</v>
      </c>
      <c r="B116" s="4">
        <f>MAX(B2:B113)</f>
        <v>3750</v>
      </c>
      <c r="C116"/>
      <c r="E116"/>
    </row>
    <row r="117" spans="1:13" x14ac:dyDescent="0.25">
      <c r="A117" t="s">
        <v>150</v>
      </c>
      <c r="B117" s="4">
        <f>MIN(B2:B113)</f>
        <v>38</v>
      </c>
      <c r="D117" s="4"/>
    </row>
    <row r="121" spans="1:13" x14ac:dyDescent="0.25">
      <c r="A121" t="s">
        <v>149</v>
      </c>
      <c r="B121" s="4" t="str">
        <f>INDEX(A2:A113,MATCH(3750,B2:B113,0))</f>
        <v>32PCS Portable Cordless Drill Set With Cyclic Battery Drive -26 Variable Speed</v>
      </c>
      <c r="H121">
        <f>SUM(H2:H113)</f>
        <v>723</v>
      </c>
    </row>
    <row r="122" spans="1:13" x14ac:dyDescent="0.25">
      <c r="A122" t="s">
        <v>150</v>
      </c>
      <c r="B122" s="4" t="str">
        <f>INDEX(A2:A113,MATCH(38,B2:B113,0))</f>
        <v>3PCS Single Head Knitting Crochet Sweater Needle Set</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7" workbookViewId="0">
      <selection activeCell="P31" sqref="P31"/>
    </sheetView>
  </sheetViews>
  <sheetFormatPr defaultRowHeight="15" x14ac:dyDescent="0.25"/>
  <cols>
    <col min="1" max="16384" width="9.1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Excel_jumia_dataset assignment </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2026-06-10T14:04:27Z</dcterms:created>
  <dcterms:modified xsi:type="dcterms:W3CDTF">2026-06-12T22:15:21Z</dcterms:modified>
</cp:coreProperties>
</file>